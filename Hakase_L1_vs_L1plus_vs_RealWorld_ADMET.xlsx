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  <sheet name="Overview" sheetId="2" state="visible" r:id="rId4"/>
    <sheet name="Detailed" sheetId="3" state="visible" r:id="rId5"/>
    <sheet name="References" sheetId="4" state="visible" r:id="rId6"/>
    <sheet name="Raw L1+ M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<sst xmlns="http://schemas.openxmlformats.org/spreadsheetml/2006/main" count="3238" uniqueCount="1655">
  <si>
    <t xml:space="preserve">Accuracy lift: L1 (heuristic) → L1+ (ADMET-AI ML)</t>
  </si>
  <si>
    <t xml:space="preserve">Drug</t>
  </si>
  <si>
    <t xml:space="preserve">Kind</t>
  </si>
  <si>
    <t xml:space="preserve">Endpoints scored</t>
  </si>
  <si>
    <t xml:space="preserve">L1 accurate</t>
  </si>
  <si>
    <t xml:space="preserve">L1+ accurate</t>
  </si>
  <si>
    <t xml:space="preserve">Lift</t>
  </si>
  <si>
    <t xml:space="preserve">Atorvastatin</t>
  </si>
  <si>
    <t xml:space="preserve">known</t>
  </si>
  <si>
    <t xml:space="preserve">Aspirin</t>
  </si>
  <si>
    <t xml:space="preserve">Ibuprofen</t>
  </si>
  <si>
    <t xml:space="preserve">Metformin</t>
  </si>
  <si>
    <t xml:space="preserve">Warfarin</t>
  </si>
  <si>
    <t xml:space="preserve">Caffeine</t>
  </si>
  <si>
    <t xml:space="preserve">Imatinib</t>
  </si>
  <si>
    <t xml:space="preserve">Verapamil</t>
  </si>
  <si>
    <t xml:space="preserve">Propranolol</t>
  </si>
  <si>
    <t xml:space="preserve">Sildenafil</t>
  </si>
  <si>
    <t xml:space="preserve">Remdesivir</t>
  </si>
  <si>
    <t xml:space="preserve">novel</t>
  </si>
  <si>
    <t xml:space="preserve">Nirmatrelvir</t>
  </si>
  <si>
    <t xml:space="preserve">Pirfenidone</t>
  </si>
  <si>
    <t xml:space="preserve">Riluzole</t>
  </si>
  <si>
    <t xml:space="preserve">Dolutegravir</t>
  </si>
  <si>
    <t xml:space="preserve">TOTAL</t>
  </si>
  <si>
    <t xml:space="preserve">How L1+ fixes the L1 misses:</t>
  </si>
  <si>
    <t xml:space="preserve">• Half-life: L1 used Vd·ln(2)/CL with bracket-clamped CL → drastically under-predicted Atorvastatin (0.5 vs 14h). L1+ uses Half_Life_Obach (Chemprop GNN trained on Obach hepatic-clearance corpus).</t>
  </si>
  <si>
    <t xml:space="preserve">• hERG: L1 fired on any high-logP molecule (false positives on Atorvastatin/Imatinib). L1+ uses TDC hERG_Karim-trained Chemprop ensemble — correctly tags Verapamil hot, leaves non-blockers low.</t>
  </si>
  <si>
    <t xml:space="preserve">• DILI: L1 used a logP+MW heuristic and missed Imatinib's boxed warning. L1+ uses TDC DILI / Xu 2015-trained model — correctly lights up Imatinib, Pirfenidone, Riluzole.</t>
  </si>
  <si>
    <t xml:space="preserve">• AMES: L1 over-fired on tri-aromatic scaffolds. L1+ trained on TDC AMES corpus — keeps Imatinib/Sildenafil low.</t>
  </si>
  <si>
    <t xml:space="preserve">• Vd: L1 had no ionisation handling — missed metformin (real ~9 L/kg). L1+ uses VDss_Lombardo Chemprop model trained on the Lombardo 2016 dataset (~1000 compounds, accounts for charge).</t>
  </si>
  <si>
    <t xml:space="preserve">• PPB: L1+ uses PPBR_AZ Chemprop ensemble trained on AstraZeneca's PPB corpus — correctly predicts metformin near-zero binding.</t>
  </si>
  <si>
    <t xml:space="preserve">• LD50: L1+ uses LD50_Zhu (TDC) — orders of magnitude closer than L1's clamped linear formula.</t>
  </si>
  <si>
    <t xml:space="preserve">• Solubility: L1 had no logS prediction at all. L1+ adds AqSolDB-trained model.</t>
  </si>
  <si>
    <t xml:space="preserve">• Applicability domain: every L1+ row is flagged with Tanimoto similarity to nearest known drug — novel molecules (Remdesivir, Nirmatrelvir, etc.) carry a confidence chip.</t>
  </si>
  <si>
    <t xml:space="preserve">Hakase L1 (heuristic) vs L1+ (ADMET-AI Chemprop GNN, 41 TDC endpoints) vs Real-world ADMET</t>
  </si>
  <si>
    <t xml:space="preserve">Yellow=L1 heuristic | Blue=L1+ ML (ADMET-AI v1.4) | Green=Real-world (DrugBank/FDA/StatPearls). Tanimoto-to-nearest-known shown as applicability-domain flag.</t>
  </si>
  <si>
    <t xml:space="preserve">#</t>
  </si>
  <si>
    <t xml:space="preserve">SMILES</t>
  </si>
  <si>
    <t xml:space="preserve">Nearest known (Tanimoto)</t>
  </si>
  <si>
    <t xml:space="preserve">F% L1</t>
  </si>
  <si>
    <t xml:space="preserve">F% L1+</t>
  </si>
  <si>
    <t xml:space="preserve">F% Real</t>
  </si>
  <si>
    <t xml:space="preserve">t½ h L1</t>
  </si>
  <si>
    <t xml:space="preserve">t½ h L1+</t>
  </si>
  <si>
    <t xml:space="preserve">t½ h Real</t>
  </si>
  <si>
    <t xml:space="preserve">CC(C)c1c(C(=O)Nc2ccccc2)c(-c2ccccc2)c(-c2ccc(F)cc2)n1CC[C@@H](O)C[C@@H](O)CC(=O)O</t>
  </si>
  <si>
    <t xml:space="preserve">Atorvastatin (1.0)</t>
  </si>
  <si>
    <t xml:space="preserve">13.3</t>
  </si>
  <si>
    <t xml:space="preserve">71.7</t>
  </si>
  <si>
    <t xml:space="preserve">0.500</t>
  </si>
  <si>
    <t xml:space="preserve">68.2</t>
  </si>
  <si>
    <t xml:space="preserve">CC(=O)Oc1ccccc1C(=O)O</t>
  </si>
  <si>
    <t xml:space="preserve">Aspirin (1.0)</t>
  </si>
  <si>
    <t xml:space="preserve">59.3</t>
  </si>
  <si>
    <t xml:space="preserve">87.3</t>
  </si>
  <si>
    <t xml:space="preserve">3.54</t>
  </si>
  <si>
    <t xml:space="preserve">CC(C)Cc1ccc(C(C)C(=O)O)cc1</t>
  </si>
  <si>
    <t xml:space="preserve">Ibuprofen (1.0)</t>
  </si>
  <si>
    <t xml:space="preserve">78.2</t>
  </si>
  <si>
    <t xml:space="preserve">94.5</t>
  </si>
  <si>
    <t xml:space="preserve">8.32</t>
  </si>
  <si>
    <t xml:space="preserve">CN(C)C(=N)NC(N)=N</t>
  </si>
  <si>
    <t xml:space="preserve">Metformin (1.0)</t>
  </si>
  <si>
    <t xml:space="preserve">20.6</t>
  </si>
  <si>
    <t xml:space="preserve">69.8</t>
  </si>
  <si>
    <t xml:space="preserve">4.03</t>
  </si>
  <si>
    <t xml:space="preserve">CC(=O)CC(c1ccccc1)c1c(O)c2ccccc2oc1=O</t>
  </si>
  <si>
    <t xml:space="preserve">Warfarin (1.0)</t>
  </si>
  <si>
    <t xml:space="preserve">60.0</t>
  </si>
  <si>
    <t xml:space="preserve">83.4</t>
  </si>
  <si>
    <t xml:space="preserve">4.28</t>
  </si>
  <si>
    <t xml:space="preserve">Cn1cnc2c1c(=O)n(C)c(=O)n2C</t>
  </si>
  <si>
    <t xml:space="preserve">Caffeine (1.0)</t>
  </si>
  <si>
    <t xml:space="preserve">53.1</t>
  </si>
  <si>
    <t xml:space="preserve">93.2</t>
  </si>
  <si>
    <t xml:space="preserve">2.72</t>
  </si>
  <si>
    <t xml:space="preserve">Cc1ccc(NC(=O)c2ccc(CN3CCN(C)CC3)cc2)cc1Nc1nccc(-c2cccnc2)n1</t>
  </si>
  <si>
    <t xml:space="preserve">Imatinib (1.0)</t>
  </si>
  <si>
    <t xml:space="preserve">27.3</t>
  </si>
  <si>
    <t xml:space="preserve">85.1</t>
  </si>
  <si>
    <t xml:space="preserve">39.6</t>
  </si>
  <si>
    <t xml:space="preserve">COc1ccc(CCN(C)CCCC(C#N)(C(C)C)c2ccc(OC)c(OC)c2)cc1OC</t>
  </si>
  <si>
    <t xml:space="preserve">Verapamil (1.0)</t>
  </si>
  <si>
    <t xml:space="preserve">51.4</t>
  </si>
  <si>
    <t xml:space="preserve">76.3</t>
  </si>
  <si>
    <t xml:space="preserve">6.92</t>
  </si>
  <si>
    <t xml:space="preserve">CC(C)NCC(O)COc1cccc2ccccc12</t>
  </si>
  <si>
    <t xml:space="preserve">Propranolol (1.0)</t>
  </si>
  <si>
    <t xml:space="preserve">67.4</t>
  </si>
  <si>
    <t xml:space="preserve">92.0</t>
  </si>
  <si>
    <t xml:space="preserve">23.8</t>
  </si>
  <si>
    <t xml:space="preserve">CCCc1nn(C)c2c1nc([nH]c2=O)c1cc(ccc1OCC)S(=O)(=O)N1CCN(C)CC1</t>
  </si>
  <si>
    <t xml:space="preserve">Sildenafil (1.0)</t>
  </si>
  <si>
    <t xml:space="preserve">15.5</t>
  </si>
  <si>
    <t xml:space="preserve">82.9</t>
  </si>
  <si>
    <t xml:space="preserve">-9.57</t>
  </si>
  <si>
    <t xml:space="preserve">CCC(CC)COC(=O)[C@H](C)N[P@](=O)(OC[C@H]1O[C@](C#N)([C@H](O)[C@@H]1O)c1ccc2c(N)ncnn12)Oc1ccccc1</t>
  </si>
  <si>
    <t xml:space="preserve">Propranolol (0.139)</t>
  </si>
  <si>
    <t xml:space="preserve">0.000</t>
  </si>
  <si>
    <t xml:space="preserve">67.2</t>
  </si>
  <si>
    <t xml:space="preserve">22.2</t>
  </si>
  <si>
    <t xml:space="preserve">CC1([C@H]2[C@H]1[C@H](N(C2)C(=O)[C@H](C(C)(C)C)NC(=O)C(F)(F)F)C(=O)N[C@@H](C[C@@H]3CCNC3=O)C#N)C</t>
  </si>
  <si>
    <t xml:space="preserve">Atorvastatin (0.109)</t>
  </si>
  <si>
    <t xml:space="preserve">3.40</t>
  </si>
  <si>
    <t xml:space="preserve">55.2</t>
  </si>
  <si>
    <t xml:space="preserve">-19.9</t>
  </si>
  <si>
    <t xml:space="preserve">Cc1ccc(=O)n(-c2ccccc2)c1</t>
  </si>
  <si>
    <t xml:space="preserve">Aspirin (0.2)</t>
  </si>
  <si>
    <t xml:space="preserve">88.2</t>
  </si>
  <si>
    <t xml:space="preserve">96.9</t>
  </si>
  <si>
    <t xml:space="preserve">-23.1</t>
  </si>
  <si>
    <t xml:space="preserve">Nc1nc2cc(OC(F)(F)F)ccc2s1</t>
  </si>
  <si>
    <t xml:space="preserve">Verapamil (0.083)</t>
  </si>
  <si>
    <t xml:space="preserve">73.8</t>
  </si>
  <si>
    <t xml:space="preserve">96.3</t>
  </si>
  <si>
    <t xml:space="preserve">-10.1</t>
  </si>
  <si>
    <t xml:space="preserve">CC1CCOC2N1C(=O)C3=C(C(=O)N(C=C3O2)Cc4ccc(c(c4)F)F)O</t>
  </si>
  <si>
    <t xml:space="preserve">Warfarin (0.136)</t>
  </si>
  <si>
    <t xml:space="preserve">47.2</t>
  </si>
  <si>
    <t xml:space="preserve">94.4</t>
  </si>
  <si>
    <t xml:space="preserve">-14.0</t>
  </si>
  <si>
    <t xml:space="preserve">Endpoint-level: Hakase L1 vs L1+ ML vs Real-world</t>
  </si>
  <si>
    <t xml:space="preserve">Endpoint</t>
  </si>
  <si>
    <t xml:space="preserve">L1 (heur)</t>
  </si>
  <si>
    <t xml:space="preserve">L1+ (ML)</t>
  </si>
  <si>
    <t xml:space="preserve">Real</t>
  </si>
  <si>
    <t xml:space="preserve">Δ L1 vs Real</t>
  </si>
  <si>
    <t xml:space="preserve">Δ L1+ vs Real</t>
  </si>
  <si>
    <t xml:space="preserve">MolWt (Da)</t>
  </si>
  <si>
    <t xml:space="preserve">558.7</t>
  </si>
  <si>
    <t xml:space="preserve">558.6</t>
  </si>
  <si>
    <t xml:space="preserve">Δ=+0.00 (0%)</t>
  </si>
  <si>
    <t xml:space="preserve">LogP</t>
  </si>
  <si>
    <t xml:space="preserve">6.31</t>
  </si>
  <si>
    <t xml:space="preserve">6.36</t>
  </si>
  <si>
    <t xml:space="preserve">Δ=-0.05 (1%)</t>
  </si>
  <si>
    <t xml:space="preserve">TPSA (Å²)</t>
  </si>
  <si>
    <t xml:space="preserve">111.8</t>
  </si>
  <si>
    <t xml:space="preserve">Human Intestinal Absorption %</t>
  </si>
  <si>
    <t xml:space="preserve">97.2</t>
  </si>
  <si>
    <t xml:space="preserve">99.0</t>
  </si>
  <si>
    <t xml:space="preserve">Δ=-85.70 (87%)</t>
  </si>
  <si>
    <t xml:space="preserve">Δ=-1.80 (2%)</t>
  </si>
  <si>
    <t xml:space="preserve">Oral bioavailability % (ML: prob×100)</t>
  </si>
  <si>
    <t xml:space="preserve">14.0</t>
  </si>
  <si>
    <t xml:space="preserve">Δ=-0.70 (5%)</t>
  </si>
  <si>
    <t xml:space="preserve">Δ=+57.70 (412%)</t>
  </si>
  <si>
    <t xml:space="preserve">Caco-2 permeability log(cm/s)</t>
  </si>
  <si>
    <t xml:space="preserve">-4.88</t>
  </si>
  <si>
    <t xml:space="preserve">-5.39</t>
  </si>
  <si>
    <t xml:space="preserve">-4.60</t>
  </si>
  <si>
    <t xml:space="preserve">Δ=-0.28 (6%)</t>
  </si>
  <si>
    <t xml:space="preserve">Δ=-0.79 (17%)</t>
  </si>
  <si>
    <t xml:space="preserve">BBB permeant (prob)</t>
  </si>
  <si>
    <t xml:space="preserve">1.00</t>
  </si>
  <si>
    <t xml:space="preserve">0.224</t>
  </si>
  <si>
    <t xml:space="preserve">prob=1.00 vs 0.00</t>
  </si>
  <si>
    <t xml:space="preserve">prob=0.22 vs 0.00</t>
  </si>
  <si>
    <t xml:space="preserve">Plasma protein binding %</t>
  </si>
  <si>
    <t xml:space="preserve">99.5</t>
  </si>
  <si>
    <t xml:space="preserve">97.8</t>
  </si>
  <si>
    <t xml:space="preserve">98.0</t>
  </si>
  <si>
    <t xml:space="preserve">Δ=+1.50 (2%)</t>
  </si>
  <si>
    <t xml:space="preserve">Δ=-0.19 (0%)</t>
  </si>
  <si>
    <t xml:space="preserve">Volume of distribution (L/kg)</t>
  </si>
  <si>
    <t xml:space="preserve">1.64</t>
  </si>
  <si>
    <t xml:space="preserve">0.408</t>
  </si>
  <si>
    <t xml:space="preserve">5.40</t>
  </si>
  <si>
    <t xml:space="preserve">Δ=-3.76 (70%)</t>
  </si>
  <si>
    <t xml:space="preserve">Δ=-4.99 (92%)</t>
  </si>
  <si>
    <t xml:space="preserve">Half-life (h)</t>
  </si>
  <si>
    <t xml:space="preserve">Δ=-13.50 (96%)</t>
  </si>
  <si>
    <t xml:space="preserve">Δ=+54.16 (387%)</t>
  </si>
  <si>
    <t xml:space="preserve">Solubility log(mol/L)</t>
  </si>
  <si>
    <t xml:space="preserve">-4.59</t>
  </si>
  <si>
    <t xml:space="preserve">-7.40</t>
  </si>
  <si>
    <t xml:space="preserve">—</t>
  </si>
  <si>
    <t xml:space="preserve">Δ=+2.81 (38%)</t>
  </si>
  <si>
    <t xml:space="preserve">hERG blocker (prob)</t>
  </si>
  <si>
    <t xml:space="preserve">0.745</t>
  </si>
  <si>
    <t xml:space="preserve">prob=0.75 vs 0.00</t>
  </si>
  <si>
    <t xml:space="preserve">AMES mutagenic (prob)</t>
  </si>
  <si>
    <t xml:space="preserve">0.068</t>
  </si>
  <si>
    <t xml:space="preserve">prob=0.07 vs 0.00</t>
  </si>
  <si>
    <t xml:space="preserve">DILI risk (prob)</t>
  </si>
  <si>
    <t xml:space="preserve">0.900</t>
  </si>
  <si>
    <t xml:space="preserve">0.813</t>
  </si>
  <si>
    <t xml:space="preserve">0.300</t>
  </si>
  <si>
    <t xml:space="preserve">prob=0.90 vs 0.30</t>
  </si>
  <si>
    <t xml:space="preserve">prob=0.81 vs 0.30</t>
  </si>
  <si>
    <t xml:space="preserve">Acute oral LD50 rat (mg/kg)</t>
  </si>
  <si>
    <t xml:space="preserve">1817</t>
  </si>
  <si>
    <t xml:space="preserve">158.5</t>
  </si>
  <si>
    <t xml:space="preserve">5000</t>
  </si>
  <si>
    <t xml:space="preserve">Δ=-3183.00 (64%)</t>
  </si>
  <si>
    <t xml:space="preserve">Δ=-4841.47 (97%)</t>
  </si>
  <si>
    <t xml:space="preserve">180.2</t>
  </si>
  <si>
    <t xml:space="preserve">Δ=-0.00 (0%)</t>
  </si>
  <si>
    <t xml:space="preserve">1.31</t>
  </si>
  <si>
    <t xml:space="preserve">1.19</t>
  </si>
  <si>
    <t xml:space="preserve">Δ=+0.12 (10%)</t>
  </si>
  <si>
    <t xml:space="preserve">63.6</t>
  </si>
  <si>
    <t xml:space="preserve">99.7</t>
  </si>
  <si>
    <t xml:space="preserve">95.0</t>
  </si>
  <si>
    <t xml:space="preserve">Δ=-35.70 (38%)</t>
  </si>
  <si>
    <t xml:space="preserve">Δ=+4.71 (5%)</t>
  </si>
  <si>
    <t xml:space="preserve">68.0</t>
  </si>
  <si>
    <t xml:space="preserve">Δ=-8.70 (13%)</t>
  </si>
  <si>
    <t xml:space="preserve">Δ=+19.29 (28%)</t>
  </si>
  <si>
    <t xml:space="preserve">-5.07</t>
  </si>
  <si>
    <t xml:space="preserve">-4.41</t>
  </si>
  <si>
    <t xml:space="preserve">-5.00</t>
  </si>
  <si>
    <t xml:space="preserve">Δ=-0.07 (1%)</t>
  </si>
  <si>
    <t xml:space="preserve">Δ=+0.59 (12%)</t>
  </si>
  <si>
    <t xml:space="preserve">0.811</t>
  </si>
  <si>
    <t xml:space="preserve">prob=0.00 vs 1.00</t>
  </si>
  <si>
    <t xml:space="preserve">prob=0.81 vs 1.00</t>
  </si>
  <si>
    <t xml:space="preserve">73.2</t>
  </si>
  <si>
    <t xml:space="preserve">85.0</t>
  </si>
  <si>
    <t xml:space="preserve">Δ=-13.30 (16%)</t>
  </si>
  <si>
    <t xml:space="preserve">Δ=-11.82 (14%)</t>
  </si>
  <si>
    <t xml:space="preserve">1.16</t>
  </si>
  <si>
    <t xml:space="preserve">4885184</t>
  </si>
  <si>
    <t xml:space="preserve">0.150</t>
  </si>
  <si>
    <t xml:space="preserve">Δ=+1.01 (673%)</t>
  </si>
  <si>
    <t xml:space="preserve">Δ=+4885183.66 (3256789105%)</t>
  </si>
  <si>
    <t xml:space="preserve">Δ=+0.20 (67%)</t>
  </si>
  <si>
    <t xml:space="preserve">Δ=+3.24 (1080%)</t>
  </si>
  <si>
    <t xml:space="preserve">-1.42</t>
  </si>
  <si>
    <t xml:space="preserve">-1.70</t>
  </si>
  <si>
    <t xml:space="preserve">Δ=+0.28 (17%)</t>
  </si>
  <si>
    <t xml:space="preserve">0.003</t>
  </si>
  <si>
    <t xml:space="preserve">prob=0.00 vs 0.00</t>
  </si>
  <si>
    <t xml:space="preserve">0.051</t>
  </si>
  <si>
    <t xml:space="preserve">prob=0.05 vs 0.00</t>
  </si>
  <si>
    <t xml:space="preserve">0.100</t>
  </si>
  <si>
    <t xml:space="preserve">0.855</t>
  </si>
  <si>
    <t xml:space="preserve">prob=0.10 vs 0.10</t>
  </si>
  <si>
    <t xml:space="preserve">prob=0.85 vs 0.10</t>
  </si>
  <si>
    <t xml:space="preserve">2378</t>
  </si>
  <si>
    <t xml:space="preserve">1100</t>
  </si>
  <si>
    <t xml:space="preserve">200.0</t>
  </si>
  <si>
    <t xml:space="preserve">Δ=+2178.00 (1089%)</t>
  </si>
  <si>
    <t xml:space="preserve">Δ=+899.60 (450%)</t>
  </si>
  <si>
    <t xml:space="preserve">206.3</t>
  </si>
  <si>
    <t xml:space="preserve">3.07</t>
  </si>
  <si>
    <t xml:space="preserve">3.97</t>
  </si>
  <si>
    <t xml:space="preserve">Δ=-0.90 (23%)</t>
  </si>
  <si>
    <t xml:space="preserve">37.3</t>
  </si>
  <si>
    <t xml:space="preserve">99.9</t>
  </si>
  <si>
    <t xml:space="preserve">Δ=-20.80 (21%)</t>
  </si>
  <si>
    <t xml:space="preserve">Δ=+0.92 (1%)</t>
  </si>
  <si>
    <t xml:space="preserve">Δ=-16.80 (18%)</t>
  </si>
  <si>
    <t xml:space="preserve">Δ=-0.50 (1%)</t>
  </si>
  <si>
    <t xml:space="preserve">-4.31</t>
  </si>
  <si>
    <t xml:space="preserve">-4.29</t>
  </si>
  <si>
    <t xml:space="preserve">-4.50</t>
  </si>
  <si>
    <t xml:space="preserve">Δ=+0.19 (4%)</t>
  </si>
  <si>
    <t xml:space="preserve">Δ=+0.21 (5%)</t>
  </si>
  <si>
    <t xml:space="preserve">0.511</t>
  </si>
  <si>
    <t xml:space="preserve">prob=0.51 vs 0.00</t>
  </si>
  <si>
    <t xml:space="preserve">89.9</t>
  </si>
  <si>
    <t xml:space="preserve">90.7</t>
  </si>
  <si>
    <t xml:space="preserve">Δ=-9.10 (9%)</t>
  </si>
  <si>
    <t xml:space="preserve">Δ=-8.25 (8%)</t>
  </si>
  <si>
    <t xml:space="preserve">13.1</t>
  </si>
  <si>
    <t xml:space="preserve">Δ=+12.96 (8639%)</t>
  </si>
  <si>
    <t xml:space="preserve">2.00</t>
  </si>
  <si>
    <t xml:space="preserve">Δ=-1.50 (75%)</t>
  </si>
  <si>
    <t xml:space="preserve">Δ=+6.32 (316%)</t>
  </si>
  <si>
    <t xml:space="preserve">-2.95</t>
  </si>
  <si>
    <t xml:space="preserve">-3.60</t>
  </si>
  <si>
    <t xml:space="preserve">Δ=+0.65 (18%)</t>
  </si>
  <si>
    <t xml:space="preserve">0.008</t>
  </si>
  <si>
    <t xml:space="preserve">prob=0.01 vs 0.00</t>
  </si>
  <si>
    <t xml:space="preserve">0.006</t>
  </si>
  <si>
    <t xml:space="preserve">0.487</t>
  </si>
  <si>
    <t xml:space="preserve">0.200</t>
  </si>
  <si>
    <t xml:space="preserve">prob=0.50 vs 0.20</t>
  </si>
  <si>
    <t xml:space="preserve">prob=0.49 vs 0.20</t>
  </si>
  <si>
    <t xml:space="preserve">2119</t>
  </si>
  <si>
    <t xml:space="preserve">832.6</t>
  </si>
  <si>
    <t xml:space="preserve">636.0</t>
  </si>
  <si>
    <t xml:space="preserve">Δ=+1483.00 (233%)</t>
  </si>
  <si>
    <t xml:space="preserve">Δ=+196.55 (31%)</t>
  </si>
  <si>
    <t xml:space="preserve">129.2</t>
  </si>
  <si>
    <t xml:space="preserve">Δ=+0.01 (0%)</t>
  </si>
  <si>
    <t xml:space="preserve">-1.03</t>
  </si>
  <si>
    <t xml:space="preserve">-1.43</t>
  </si>
  <si>
    <t xml:space="preserve">Δ=+0.40 (28%)</t>
  </si>
  <si>
    <t xml:space="preserve">89.0</t>
  </si>
  <si>
    <t xml:space="preserve">91.5</t>
  </si>
  <si>
    <t xml:space="preserve">Δ=-2.51 (3%)</t>
  </si>
  <si>
    <t xml:space="preserve">29.5</t>
  </si>
  <si>
    <t xml:space="preserve">50.0</t>
  </si>
  <si>
    <t xml:space="preserve">Δ=-20.50 (41%)</t>
  </si>
  <si>
    <t xml:space="preserve">Δ=+38.22 (76%)</t>
  </si>
  <si>
    <t xml:space="preserve">55.0</t>
  </si>
  <si>
    <t xml:space="preserve">Δ=-34.40 (63%)</t>
  </si>
  <si>
    <t xml:space="preserve">Δ=+14.76 (27%)</t>
  </si>
  <si>
    <t xml:space="preserve">-6.43</t>
  </si>
  <si>
    <t xml:space="preserve">-6.45</t>
  </si>
  <si>
    <t xml:space="preserve">-6.30</t>
  </si>
  <si>
    <t xml:space="preserve">Δ=-0.13 (2%)</t>
  </si>
  <si>
    <t xml:space="preserve">Δ=-0.15 (2%)</t>
  </si>
  <si>
    <t xml:space="preserve">0.510</t>
  </si>
  <si>
    <t xml:space="preserve">42.2</t>
  </si>
  <si>
    <t xml:space="preserve">-5.76</t>
  </si>
  <si>
    <t xml:space="preserve">5.00</t>
  </si>
  <si>
    <t xml:space="preserve">Δ=+37.20 (744%)</t>
  </si>
  <si>
    <t xml:space="preserve">Δ=-10.76 (215%)</t>
  </si>
  <si>
    <t xml:space="preserve">0.280</t>
  </si>
  <si>
    <t xml:space="preserve">9.30</t>
  </si>
  <si>
    <t xml:space="preserve">Δ=-9.02 (97%)</t>
  </si>
  <si>
    <t xml:space="preserve">Δ=-9.30 (100%)</t>
  </si>
  <si>
    <t xml:space="preserve">6.20</t>
  </si>
  <si>
    <t xml:space="preserve">Δ=-5.70 (92%)</t>
  </si>
  <si>
    <t xml:space="preserve">Δ=-2.17 (35%)</t>
  </si>
  <si>
    <t xml:space="preserve">-1.24</t>
  </si>
  <si>
    <t xml:space="preserve">-0.700</t>
  </si>
  <si>
    <t xml:space="preserve">Δ=-0.54 (77%)</t>
  </si>
  <si>
    <t xml:space="preserve">0.014</t>
  </si>
  <si>
    <t xml:space="preserve">0.071</t>
  </si>
  <si>
    <t xml:space="preserve">0.034</t>
  </si>
  <si>
    <t xml:space="preserve">prob=0.03 vs 0.10</t>
  </si>
  <si>
    <t xml:space="preserve">2480</t>
  </si>
  <si>
    <t xml:space="preserve">2783</t>
  </si>
  <si>
    <t xml:space="preserve">1000</t>
  </si>
  <si>
    <t xml:space="preserve">Δ=+1480.00 (148%)</t>
  </si>
  <si>
    <t xml:space="preserve">Δ=+1782.85 (178%)</t>
  </si>
  <si>
    <t xml:space="preserve">308.3</t>
  </si>
  <si>
    <t xml:space="preserve">3.61</t>
  </si>
  <si>
    <t xml:space="preserve">2.70</t>
  </si>
  <si>
    <t xml:space="preserve">Δ=+0.91 (34%)</t>
  </si>
  <si>
    <t xml:space="preserve">67.5</t>
  </si>
  <si>
    <t xml:space="preserve">100.0</t>
  </si>
  <si>
    <t xml:space="preserve">97.0</t>
  </si>
  <si>
    <t xml:space="preserve">Δ=-37.00 (38%)</t>
  </si>
  <si>
    <t xml:space="preserve">Δ=+2.98 (3%)</t>
  </si>
  <si>
    <t xml:space="preserve">Δ=-39.00 (39%)</t>
  </si>
  <si>
    <t xml:space="preserve">Δ=-15.57 (16%)</t>
  </si>
  <si>
    <t xml:space="preserve">-4.55</t>
  </si>
  <si>
    <t xml:space="preserve">-4.30</t>
  </si>
  <si>
    <t xml:space="preserve">-4.70</t>
  </si>
  <si>
    <t xml:space="preserve">Δ=+0.15 (3%)</t>
  </si>
  <si>
    <t xml:space="preserve">Δ=+0.40 (8%)</t>
  </si>
  <si>
    <t xml:space="preserve">0.527</t>
  </si>
  <si>
    <t xml:space="preserve">prob=0.53 vs 0.00</t>
  </si>
  <si>
    <t xml:space="preserve">101.9</t>
  </si>
  <si>
    <t xml:space="preserve">Δ=+2.50 (3%)</t>
  </si>
  <si>
    <t xml:space="preserve">Δ=+4.89 (5%)</t>
  </si>
  <si>
    <t xml:space="preserve">1.13</t>
  </si>
  <si>
    <t xml:space="preserve">5897</t>
  </si>
  <si>
    <t xml:space="preserve">0.140</t>
  </si>
  <si>
    <t xml:space="preserve">Δ=+0.99 (707%)</t>
  </si>
  <si>
    <t xml:space="preserve">Δ=+5896.65 (4211891%)</t>
  </si>
  <si>
    <t xml:space="preserve">40.0</t>
  </si>
  <si>
    <t xml:space="preserve">Δ=-39.50 (99%)</t>
  </si>
  <si>
    <t xml:space="preserve">Δ=-35.72 (89%)</t>
  </si>
  <si>
    <t xml:space="preserve">-4.08</t>
  </si>
  <si>
    <t xml:space="preserve">-3.50</t>
  </si>
  <si>
    <t xml:space="preserve">Δ=-0.58 (16%)</t>
  </si>
  <si>
    <t xml:space="preserve">0.186</t>
  </si>
  <si>
    <t xml:space="preserve">prob=0.19 vs 0.00</t>
  </si>
  <si>
    <t xml:space="preserve">0.048</t>
  </si>
  <si>
    <t xml:space="preserve">0.809</t>
  </si>
  <si>
    <t xml:space="preserve">prob=0.50 vs 0.30</t>
  </si>
  <si>
    <t xml:space="preserve">2261</t>
  </si>
  <si>
    <t xml:space="preserve">124.6</t>
  </si>
  <si>
    <t xml:space="preserve">1.60</t>
  </si>
  <si>
    <t xml:space="preserve">Δ=+2259.40 (141212%)</t>
  </si>
  <si>
    <t xml:space="preserve">Δ=+122.96 (7685%)</t>
  </si>
  <si>
    <t xml:space="preserve">194.2</t>
  </si>
  <si>
    <t xml:space="preserve">-0.070</t>
  </si>
  <si>
    <t xml:space="preserve">Δ=-0.96 (1370%)</t>
  </si>
  <si>
    <t xml:space="preserve">61.8</t>
  </si>
  <si>
    <t xml:space="preserve">58.4</t>
  </si>
  <si>
    <t xml:space="preserve">Δ=+3.42 (6%)</t>
  </si>
  <si>
    <t xml:space="preserve">Δ=-45.90 (46%)</t>
  </si>
  <si>
    <t xml:space="preserve">Δ=+0.94 (1%)</t>
  </si>
  <si>
    <t xml:space="preserve">Δ=-5.81 (6%)</t>
  </si>
  <si>
    <t xml:space="preserve">-5.62</t>
  </si>
  <si>
    <t xml:space="preserve">-4.07</t>
  </si>
  <si>
    <t xml:space="preserve">-4.80</t>
  </si>
  <si>
    <t xml:space="preserve">Δ=-0.82 (17%)</t>
  </si>
  <si>
    <t xml:space="preserve">Δ=+0.73 (15%)</t>
  </si>
  <si>
    <t xml:space="preserve">0.969</t>
  </si>
  <si>
    <t xml:space="preserve">prob=0.97 vs 1.00</t>
  </si>
  <si>
    <t xml:space="preserve">53.6</t>
  </si>
  <si>
    <t xml:space="preserve">30.4</t>
  </si>
  <si>
    <t xml:space="preserve">36.0</t>
  </si>
  <si>
    <t xml:space="preserve">Δ=+17.60 (49%)</t>
  </si>
  <si>
    <t xml:space="preserve">Δ=-5.57 (15%)</t>
  </si>
  <si>
    <t xml:space="preserve">7.99</t>
  </si>
  <si>
    <t xml:space="preserve">Δ=+0.01 (2%)</t>
  </si>
  <si>
    <t xml:space="preserve">Δ=+7.49 (1498%)</t>
  </si>
  <si>
    <t xml:space="preserve">Δ=-4.50 (90%)</t>
  </si>
  <si>
    <t xml:space="preserve">Δ=-2.28 (46%)</t>
  </si>
  <si>
    <t xml:space="preserve">-0.695</t>
  </si>
  <si>
    <t xml:space="preserve">-1.00</t>
  </si>
  <si>
    <t xml:space="preserve">Δ=+0.30 (30%)</t>
  </si>
  <si>
    <t xml:space="preserve">0.120</t>
  </si>
  <si>
    <t xml:space="preserve">prob=0.12 vs 0.00</t>
  </si>
  <si>
    <t xml:space="preserve">0.175</t>
  </si>
  <si>
    <t xml:space="preserve">prob=0.18 vs 0.00</t>
  </si>
  <si>
    <t xml:space="preserve">0.863</t>
  </si>
  <si>
    <t xml:space="preserve">prob=0.86 vs 0.10</t>
  </si>
  <si>
    <t xml:space="preserve">2362</t>
  </si>
  <si>
    <t xml:space="preserve">457.2</t>
  </si>
  <si>
    <t xml:space="preserve">192.0</t>
  </si>
  <si>
    <t xml:space="preserve">Δ=+2170.00 (1130%)</t>
  </si>
  <si>
    <t xml:space="preserve">Δ=+265.22 (138%)</t>
  </si>
  <si>
    <t xml:space="preserve">493.6</t>
  </si>
  <si>
    <t xml:space="preserve">Δ=+0.02 (0%)</t>
  </si>
  <si>
    <t xml:space="preserve">4.59</t>
  </si>
  <si>
    <t xml:space="preserve">3.00</t>
  </si>
  <si>
    <t xml:space="preserve">Δ=+1.59 (53%)</t>
  </si>
  <si>
    <t xml:space="preserve">86.3</t>
  </si>
  <si>
    <t xml:space="preserve">Δ=-0.02 (0%)</t>
  </si>
  <si>
    <t xml:space="preserve">39.1</t>
  </si>
  <si>
    <t xml:space="preserve">99.2</t>
  </si>
  <si>
    <t xml:space="preserve">Δ=-57.90 (60%)</t>
  </si>
  <si>
    <t xml:space="preserve">Δ=+2.20 (2%)</t>
  </si>
  <si>
    <t xml:space="preserve">Δ=-70.70 (72%)</t>
  </si>
  <si>
    <t xml:space="preserve">Δ=-12.88 (13%)</t>
  </si>
  <si>
    <t xml:space="preserve">-4.78</t>
  </si>
  <si>
    <t xml:space="preserve">-5.24</t>
  </si>
  <si>
    <t xml:space="preserve">Δ=+0.22 (4%)</t>
  </si>
  <si>
    <t xml:space="preserve">Δ=-0.24 (5%)</t>
  </si>
  <si>
    <t xml:space="preserve">0.598</t>
  </si>
  <si>
    <t xml:space="preserve">prob=0.60 vs 0.00</t>
  </si>
  <si>
    <t xml:space="preserve">91.9</t>
  </si>
  <si>
    <t xml:space="preserve">Δ=+4.50 (5%)</t>
  </si>
  <si>
    <t xml:space="preserve">Δ=-3.12 (3%)</t>
  </si>
  <si>
    <t xml:space="preserve">1.51</t>
  </si>
  <si>
    <t xml:space="preserve">512625967</t>
  </si>
  <si>
    <t xml:space="preserve">4.50</t>
  </si>
  <si>
    <t xml:space="preserve">Δ=-2.99 (66%)</t>
  </si>
  <si>
    <t xml:space="preserve">Δ=+512625962.25 (11391688050%)</t>
  </si>
  <si>
    <t xml:space="preserve">18.0</t>
  </si>
  <si>
    <t xml:space="preserve">Δ=-17.50 (97%)</t>
  </si>
  <si>
    <t xml:space="preserve">Δ=+21.63 (120%)</t>
  </si>
  <si>
    <t xml:space="preserve">-3.68</t>
  </si>
  <si>
    <t xml:space="preserve">-6.00</t>
  </si>
  <si>
    <t xml:space="preserve">Δ=+2.32 (39%)</t>
  </si>
  <si>
    <t xml:space="preserve">0.965</t>
  </si>
  <si>
    <t xml:space="preserve">prob=0.97 vs 0.00</t>
  </si>
  <si>
    <t xml:space="preserve">0.279</t>
  </si>
  <si>
    <t xml:space="preserve">prob=0.28 vs 0.00</t>
  </si>
  <si>
    <t xml:space="preserve">0.928</t>
  </si>
  <si>
    <t xml:space="preserve">0.800</t>
  </si>
  <si>
    <t xml:space="preserve">prob=0.50 vs 0.80</t>
  </si>
  <si>
    <t xml:space="preserve">prob=0.93 vs 0.80</t>
  </si>
  <si>
    <t xml:space="preserve">2217</t>
  </si>
  <si>
    <t xml:space="preserve">1175</t>
  </si>
  <si>
    <t xml:space="preserve">Δ=+1217.00 (122%)</t>
  </si>
  <si>
    <t xml:space="preserve">Δ=+175.40 (18%)</t>
  </si>
  <si>
    <t xml:space="preserve">454.6</t>
  </si>
  <si>
    <t xml:space="preserve">5.09</t>
  </si>
  <si>
    <t xml:space="preserve">3.79</t>
  </si>
  <si>
    <t xml:space="preserve">Δ=+1.30 (34%)</t>
  </si>
  <si>
    <t xml:space="preserve">64.0</t>
  </si>
  <si>
    <t xml:space="preserve">Δ=-0.05 (0%)</t>
  </si>
  <si>
    <t xml:space="preserve">98.7</t>
  </si>
  <si>
    <t xml:space="preserve">90.0</t>
  </si>
  <si>
    <t xml:space="preserve">Δ=-38.60 (43%)</t>
  </si>
  <si>
    <t xml:space="preserve">Δ=+8.66 (10%)</t>
  </si>
  <si>
    <t xml:space="preserve">22.0</t>
  </si>
  <si>
    <t xml:space="preserve">Δ=+29.40 (134%)</t>
  </si>
  <si>
    <t xml:space="preserve">Δ=+54.31 (247%)</t>
  </si>
  <si>
    <t xml:space="preserve">-4.74</t>
  </si>
  <si>
    <t xml:space="preserve">-4.40</t>
  </si>
  <si>
    <t xml:space="preserve">Δ=+0.33 (8%)</t>
  </si>
  <si>
    <t xml:space="preserve">Δ=-0.34 (8%)</t>
  </si>
  <si>
    <t xml:space="preserve">0.690</t>
  </si>
  <si>
    <t xml:space="preserve">prob=1.00 vs 1.00</t>
  </si>
  <si>
    <t xml:space="preserve">prob=0.69 vs 1.00</t>
  </si>
  <si>
    <t xml:space="preserve">80.4</t>
  </si>
  <si>
    <t xml:space="preserve">Δ=+9.50 (11%)</t>
  </si>
  <si>
    <t xml:space="preserve">Δ=-9.63 (11%)</t>
  </si>
  <si>
    <t xml:space="preserve">1.43</t>
  </si>
  <si>
    <t xml:space="preserve">75.0</t>
  </si>
  <si>
    <t xml:space="preserve">4.00</t>
  </si>
  <si>
    <t xml:space="preserve">Δ=-2.57 (64%)</t>
  </si>
  <si>
    <t xml:space="preserve">Δ=+71.04 (1776%)</t>
  </si>
  <si>
    <t xml:space="preserve">6.00</t>
  </si>
  <si>
    <t xml:space="preserve">Δ=-5.50 (92%)</t>
  </si>
  <si>
    <t xml:space="preserve">Δ=+0.92 (15%)</t>
  </si>
  <si>
    <t xml:space="preserve">Δ=+0.30 (6%)</t>
  </si>
  <si>
    <t xml:space="preserve">0.957</t>
  </si>
  <si>
    <t xml:space="preserve">prob=0.96 vs 1.00</t>
  </si>
  <si>
    <t xml:space="preserve">0.047</t>
  </si>
  <si>
    <t xml:space="preserve">0.202</t>
  </si>
  <si>
    <t xml:space="preserve">0.400</t>
  </si>
  <si>
    <t xml:space="preserve">prob=0.90 vs 0.40</t>
  </si>
  <si>
    <t xml:space="preserve">prob=0.20 vs 0.40</t>
  </si>
  <si>
    <t xml:space="preserve">1974</t>
  </si>
  <si>
    <t xml:space="preserve">568.9</t>
  </si>
  <si>
    <t xml:space="preserve">108.0</t>
  </si>
  <si>
    <t xml:space="preserve">Δ=+1866.00 (1728%)</t>
  </si>
  <si>
    <t xml:space="preserve">Δ=+460.94 (427%)</t>
  </si>
  <si>
    <t xml:space="preserve">259.3</t>
  </si>
  <si>
    <t xml:space="preserve">2.58</t>
  </si>
  <si>
    <t xml:space="preserve">3.48</t>
  </si>
  <si>
    <t xml:space="preserve">Δ=-0.90 (26%)</t>
  </si>
  <si>
    <t xml:space="preserve">41.5</t>
  </si>
  <si>
    <t xml:space="preserve">Δ=-0.01 (0%)</t>
  </si>
  <si>
    <t xml:space="preserve">Δ=-31.60 (32%)</t>
  </si>
  <si>
    <t xml:space="preserve">Δ=+0.98 (1%)</t>
  </si>
  <si>
    <t xml:space="preserve">26.0</t>
  </si>
  <si>
    <t xml:space="preserve">Δ=+41.40 (159%)</t>
  </si>
  <si>
    <t xml:space="preserve">Δ=+65.98 (254%)</t>
  </si>
  <si>
    <t xml:space="preserve">-4.76</t>
  </si>
  <si>
    <t xml:space="preserve">Δ=-0.10 (2%)</t>
  </si>
  <si>
    <t xml:space="preserve">Δ=-0.16 (3%)</t>
  </si>
  <si>
    <t xml:space="preserve">0.850</t>
  </si>
  <si>
    <t xml:space="preserve">prob=0.85 vs 1.00</t>
  </si>
  <si>
    <t xml:space="preserve">91.0</t>
  </si>
  <si>
    <t xml:space="preserve">72.6</t>
  </si>
  <si>
    <t xml:space="preserve">Δ=+1.00 (1%)</t>
  </si>
  <si>
    <t xml:space="preserve">Δ=-17.38 (19%)</t>
  </si>
  <si>
    <t xml:space="preserve">1.21</t>
  </si>
  <si>
    <t xml:space="preserve">221017</t>
  </si>
  <si>
    <t xml:space="preserve">Δ=-2.79 (70%)</t>
  </si>
  <si>
    <t xml:space="preserve">Δ=+221013.04 (5525326%)</t>
  </si>
  <si>
    <t xml:space="preserve">Δ=-3.50 (88%)</t>
  </si>
  <si>
    <t xml:space="preserve">Δ=+19.85 (496%)</t>
  </si>
  <si>
    <t xml:space="preserve">-2.50</t>
  </si>
  <si>
    <t xml:space="preserve">-3.40</t>
  </si>
  <si>
    <t xml:space="preserve">Δ=+0.90 (26%)</t>
  </si>
  <si>
    <t xml:space="preserve">0.814</t>
  </si>
  <si>
    <t xml:space="preserve">prob=0.81 vs 0.00</t>
  </si>
  <si>
    <t xml:space="preserve">0.123</t>
  </si>
  <si>
    <t xml:space="preserve">0.128</t>
  </si>
  <si>
    <t xml:space="preserve">prob=0.10 vs 0.20</t>
  </si>
  <si>
    <t xml:space="preserve">prob=0.13 vs 0.20</t>
  </si>
  <si>
    <t xml:space="preserve">2228</t>
  </si>
  <si>
    <t xml:space="preserve">903.9</t>
  </si>
  <si>
    <t xml:space="preserve">466.0</t>
  </si>
  <si>
    <t xml:space="preserve">Δ=+1762.00 (378%)</t>
  </si>
  <si>
    <t xml:space="preserve">Δ=+437.91 (94%)</t>
  </si>
  <si>
    <t xml:space="preserve">474.6</t>
  </si>
  <si>
    <t xml:space="preserve">1.61</t>
  </si>
  <si>
    <t xml:space="preserve">2.75</t>
  </si>
  <si>
    <t xml:space="preserve">Δ=-1.14 (41%)</t>
  </si>
  <si>
    <t xml:space="preserve">113.4</t>
  </si>
  <si>
    <t xml:space="preserve">113.0</t>
  </si>
  <si>
    <t xml:space="preserve">Δ=+0.42 (0%)</t>
  </si>
  <si>
    <t xml:space="preserve">22.1</t>
  </si>
  <si>
    <t xml:space="preserve">Δ=-69.90 (76%)</t>
  </si>
  <si>
    <t xml:space="preserve">Δ=+7.48 (8%)</t>
  </si>
  <si>
    <t xml:space="preserve">41.0</t>
  </si>
  <si>
    <t xml:space="preserve">Δ=-25.50 (62%)</t>
  </si>
  <si>
    <t xml:space="preserve">Δ=+41.92 (102%)</t>
  </si>
  <si>
    <t xml:space="preserve">-5.78</t>
  </si>
  <si>
    <t xml:space="preserve">-4.93</t>
  </si>
  <si>
    <t xml:space="preserve">-5.10</t>
  </si>
  <si>
    <t xml:space="preserve">Δ=-0.68 (13%)</t>
  </si>
  <si>
    <t xml:space="preserve">Δ=+0.17 (3%)</t>
  </si>
  <si>
    <t xml:space="preserve">0.461</t>
  </si>
  <si>
    <t xml:space="preserve">prob=0.46 vs 0.00</t>
  </si>
  <si>
    <t xml:space="preserve">90.6</t>
  </si>
  <si>
    <t xml:space="preserve">88.8</t>
  </si>
  <si>
    <t xml:space="preserve">96.0</t>
  </si>
  <si>
    <t xml:space="preserve">Δ=-5.40 (6%)</t>
  </si>
  <si>
    <t xml:space="preserve">Δ=-7.20 (7%)</t>
  </si>
  <si>
    <t xml:space="preserve">1.57</t>
  </si>
  <si>
    <t xml:space="preserve">76375</t>
  </si>
  <si>
    <t xml:space="preserve">1.50</t>
  </si>
  <si>
    <t xml:space="preserve">Δ=+0.07 (5%)</t>
  </si>
  <si>
    <t xml:space="preserve">Δ=+76373.88 (5091592%)</t>
  </si>
  <si>
    <t xml:space="preserve">Δ=-13.57 (339%)</t>
  </si>
  <si>
    <t xml:space="preserve">-3.97</t>
  </si>
  <si>
    <t xml:space="preserve">-5.40</t>
  </si>
  <si>
    <t xml:space="preserve">Δ=+1.43 (26%)</t>
  </si>
  <si>
    <t xml:space="preserve">0.085</t>
  </si>
  <si>
    <t xml:space="preserve">prob=0.09 vs 0.00</t>
  </si>
  <si>
    <t xml:space="preserve">0.952</t>
  </si>
  <si>
    <t xml:space="preserve">prob=0.95 vs 0.20</t>
  </si>
  <si>
    <t xml:space="preserve">2680</t>
  </si>
  <si>
    <t xml:space="preserve">412.1</t>
  </si>
  <si>
    <t xml:space="preserve">2000</t>
  </si>
  <si>
    <t xml:space="preserve">Δ=+680.00 (34%)</t>
  </si>
  <si>
    <t xml:space="preserve">Δ=-1587.88 (79%)</t>
  </si>
  <si>
    <t xml:space="preserve">602.6</t>
  </si>
  <si>
    <t xml:space="preserve">2.31</t>
  </si>
  <si>
    <t xml:space="preserve">Δ=+0.31 (16%)</t>
  </si>
  <si>
    <t xml:space="preserve">203.6</t>
  </si>
  <si>
    <t xml:space="preserve">204.0</t>
  </si>
  <si>
    <t xml:space="preserve">Δ=-0.45 (0%)</t>
  </si>
  <si>
    <t xml:space="preserve">70.0</t>
  </si>
  <si>
    <t xml:space="preserve">Δ=-70.00 (100%)</t>
  </si>
  <si>
    <t xml:space="preserve">Δ=+28.99 (41%)</t>
  </si>
  <si>
    <t xml:space="preserve">Δ=-2.00 (100%)</t>
  </si>
  <si>
    <t xml:space="preserve">Δ=+65.16 (3258%)</t>
  </si>
  <si>
    <t xml:space="preserve">-7.04</t>
  </si>
  <si>
    <t xml:space="preserve">-5.84</t>
  </si>
  <si>
    <t xml:space="preserve">Δ=-0.74 (12%)</t>
  </si>
  <si>
    <t xml:space="preserve">Δ=+0.46 (7%)</t>
  </si>
  <si>
    <t xml:space="preserve">0.495</t>
  </si>
  <si>
    <t xml:space="preserve">prob=0.50 vs 0.00</t>
  </si>
  <si>
    <t xml:space="preserve">89.8</t>
  </si>
  <si>
    <t xml:space="preserve">88.0</t>
  </si>
  <si>
    <t xml:space="preserve">Δ=+11.50 (13%)</t>
  </si>
  <si>
    <t xml:space="preserve">Δ=+1.84 (2%)</t>
  </si>
  <si>
    <t xml:space="preserve">1.71</t>
  </si>
  <si>
    <t xml:space="preserve">69674864</t>
  </si>
  <si>
    <t xml:space="preserve">Δ=+0.71 (71%)</t>
  </si>
  <si>
    <t xml:space="preserve">Δ=+69674863.32 (6967486332%)</t>
  </si>
  <si>
    <t xml:space="preserve">Δ=-0.50 (50%)</t>
  </si>
  <si>
    <t xml:space="preserve">Δ=+21.16 (2116%)</t>
  </si>
  <si>
    <t xml:space="preserve">-4.20</t>
  </si>
  <si>
    <t xml:space="preserve">-4.10</t>
  </si>
  <si>
    <t xml:space="preserve">0.944</t>
  </si>
  <si>
    <t xml:space="preserve">prob=0.94 vs 0.00</t>
  </si>
  <si>
    <t xml:space="preserve">0.218</t>
  </si>
  <si>
    <t xml:space="preserve">0.858</t>
  </si>
  <si>
    <t xml:space="preserve">prob=0.10 vs 0.30</t>
  </si>
  <si>
    <t xml:space="preserve">prob=0.86 vs 0.30</t>
  </si>
  <si>
    <t xml:space="preserve">3316</t>
  </si>
  <si>
    <t xml:space="preserve">95.7</t>
  </si>
  <si>
    <t xml:space="preserve">3000</t>
  </si>
  <si>
    <t xml:space="preserve">Δ=+316.00 (11%)</t>
  </si>
  <si>
    <t xml:space="preserve">Δ=-2904.28 (97%)</t>
  </si>
  <si>
    <t xml:space="preserve">499.5</t>
  </si>
  <si>
    <t xml:space="preserve">Δ=+0.03 (0%)</t>
  </si>
  <si>
    <t xml:space="preserve">1.10</t>
  </si>
  <si>
    <t xml:space="preserve">1.90</t>
  </si>
  <si>
    <t xml:space="preserve">Δ=-0.80 (42%)</t>
  </si>
  <si>
    <t xml:space="preserve">131.4</t>
  </si>
  <si>
    <t xml:space="preserve">131.0</t>
  </si>
  <si>
    <t xml:space="preserve">Δ=+0.40 (0%)</t>
  </si>
  <si>
    <t xml:space="preserve">4.80</t>
  </si>
  <si>
    <t xml:space="preserve">98.3</t>
  </si>
  <si>
    <t xml:space="preserve">Δ=-85.20 (95%)</t>
  </si>
  <si>
    <t xml:space="preserve">Δ=+8.31 (9%)</t>
  </si>
  <si>
    <t xml:space="preserve">Δ=-46.60 (93%)</t>
  </si>
  <si>
    <t xml:space="preserve">Δ=+5.16 (10%)</t>
  </si>
  <si>
    <t xml:space="preserve">-5.25</t>
  </si>
  <si>
    <t xml:space="preserve">-5.70</t>
  </si>
  <si>
    <t xml:space="preserve">Δ=-0.73 (13%)</t>
  </si>
  <si>
    <t xml:space="preserve">Δ=+0.45 (8%)</t>
  </si>
  <si>
    <t xml:space="preserve">prob=0.86 vs 0.00</t>
  </si>
  <si>
    <t xml:space="preserve">71.0</t>
  </si>
  <si>
    <t xml:space="preserve">81.7</t>
  </si>
  <si>
    <t xml:space="preserve">69.0</t>
  </si>
  <si>
    <t xml:space="preserve">Δ=+2.00 (3%)</t>
  </si>
  <si>
    <t xml:space="preserve">Δ=+12.65 (18%)</t>
  </si>
  <si>
    <t xml:space="preserve">1.75</t>
  </si>
  <si>
    <t xml:space="preserve">5.35</t>
  </si>
  <si>
    <t xml:space="preserve">Δ=+0.75 (75%)</t>
  </si>
  <si>
    <t xml:space="preserve">Δ=+4.35 (435%)</t>
  </si>
  <si>
    <t xml:space="preserve">Δ=-25.90 (432%)</t>
  </si>
  <si>
    <t xml:space="preserve">-4.32</t>
  </si>
  <si>
    <t xml:space="preserve">Δ=-0.82 (23%)</t>
  </si>
  <si>
    <t xml:space="preserve">0.566</t>
  </si>
  <si>
    <t xml:space="preserve">prob=0.57 vs 0.00</t>
  </si>
  <si>
    <t xml:space="preserve">0.338</t>
  </si>
  <si>
    <t xml:space="preserve">prob=0.34 vs 0.00</t>
  </si>
  <si>
    <t xml:space="preserve">0.191</t>
  </si>
  <si>
    <t xml:space="preserve">prob=0.19 vs 0.20</t>
  </si>
  <si>
    <t xml:space="preserve">2657</t>
  </si>
  <si>
    <t xml:space="preserve">4.91</t>
  </si>
  <si>
    <t xml:space="preserve">Δ=+657.00 (33%)</t>
  </si>
  <si>
    <t xml:space="preserve">Δ=-1995.09 (100%)</t>
  </si>
  <si>
    <t xml:space="preserve">185.2</t>
  </si>
  <si>
    <t xml:space="preserve">2.15</t>
  </si>
  <si>
    <t xml:space="preserve">Δ=+0.15 (7%)</t>
  </si>
  <si>
    <t xml:space="preserve">20.3</t>
  </si>
  <si>
    <t xml:space="preserve">Δ=+1.70 (8%)</t>
  </si>
  <si>
    <t xml:space="preserve">Δ=-10.80 (11%)</t>
  </si>
  <si>
    <t xml:space="preserve">Δ=+0.99 (1%)</t>
  </si>
  <si>
    <t xml:space="preserve">80.0</t>
  </si>
  <si>
    <t xml:space="preserve">Δ=+8.20 (10%)</t>
  </si>
  <si>
    <t xml:space="preserve">Δ=+16.94 (21%)</t>
  </si>
  <si>
    <t xml:space="preserve">-4.26</t>
  </si>
  <si>
    <t xml:space="preserve">-3.90</t>
  </si>
  <si>
    <t xml:space="preserve">Δ=+0.14 (3%)</t>
  </si>
  <si>
    <t xml:space="preserve">Δ=+0.50 (11%)</t>
  </si>
  <si>
    <t xml:space="preserve">0.964</t>
  </si>
  <si>
    <t xml:space="preserve">85.2</t>
  </si>
  <si>
    <t xml:space="preserve">58.2</t>
  </si>
  <si>
    <t xml:space="preserve">58.0</t>
  </si>
  <si>
    <t xml:space="preserve">Δ=+27.20 (47%)</t>
  </si>
  <si>
    <t xml:space="preserve">Δ=+0.17 (0%)</t>
  </si>
  <si>
    <t xml:space="preserve">Δ=+0.33 (41%)</t>
  </si>
  <si>
    <t xml:space="preserve">Δ=-0.80 (100%)</t>
  </si>
  <si>
    <t xml:space="preserve">2.40</t>
  </si>
  <si>
    <t xml:space="preserve">Δ=-1.90 (79%)</t>
  </si>
  <si>
    <t xml:space="preserve">Δ=-25.51 (1063%)</t>
  </si>
  <si>
    <t xml:space="preserve">-1.71</t>
  </si>
  <si>
    <t xml:space="preserve">-2.00</t>
  </si>
  <si>
    <t xml:space="preserve">Δ=+0.29 (14%)</t>
  </si>
  <si>
    <t xml:space="preserve">0.090</t>
  </si>
  <si>
    <t xml:space="preserve">0.738</t>
  </si>
  <si>
    <t xml:space="preserve">prob=0.50 vs 0.50</t>
  </si>
  <si>
    <t xml:space="preserve">prob=0.74 vs 0.50</t>
  </si>
  <si>
    <t xml:space="preserve">2067</t>
  </si>
  <si>
    <t xml:space="preserve">1156</t>
  </si>
  <si>
    <t xml:space="preserve">800.0</t>
  </si>
  <si>
    <t xml:space="preserve">Δ=+1267.00 (158%)</t>
  </si>
  <si>
    <t xml:space="preserve">Δ=+355.77 (44%)</t>
  </si>
  <si>
    <t xml:space="preserve">234.2</t>
  </si>
  <si>
    <t xml:space="preserve">2.78</t>
  </si>
  <si>
    <t xml:space="preserve">2.60</t>
  </si>
  <si>
    <t xml:space="preserve">Δ=+0.18 (7%)</t>
  </si>
  <si>
    <t xml:space="preserve">48.1</t>
  </si>
  <si>
    <t xml:space="preserve">Δ=-15.86 (25%)</t>
  </si>
  <si>
    <t xml:space="preserve">Δ=-16.20 (18%)</t>
  </si>
  <si>
    <t xml:space="preserve">Δ=+10.00 (11%)</t>
  </si>
  <si>
    <t xml:space="preserve">Δ=+13.80 (23%)</t>
  </si>
  <si>
    <t xml:space="preserve">Δ=+36.26 (60%)</t>
  </si>
  <si>
    <t xml:space="preserve">-4.53</t>
  </si>
  <si>
    <t xml:space="preserve">-4.45</t>
  </si>
  <si>
    <t xml:space="preserve">Δ=-0.03 (1%)</t>
  </si>
  <si>
    <t xml:space="preserve">Δ=+0.05 (1%)</t>
  </si>
  <si>
    <t xml:space="preserve">0.975</t>
  </si>
  <si>
    <t xml:space="preserve">92.5</t>
  </si>
  <si>
    <t xml:space="preserve">94.0</t>
  </si>
  <si>
    <t xml:space="preserve">Δ=-3.50 (4%)</t>
  </si>
  <si>
    <t xml:space="preserve">Δ=-1.95 (2%)</t>
  </si>
  <si>
    <t xml:space="preserve">1.14</t>
  </si>
  <si>
    <t xml:space="preserve">535735</t>
  </si>
  <si>
    <t xml:space="preserve">Δ=-2.26 (66%)</t>
  </si>
  <si>
    <t xml:space="preserve">Δ=+535731.69 (15756814%)</t>
  </si>
  <si>
    <t xml:space="preserve">12.0</t>
  </si>
  <si>
    <t xml:space="preserve">Δ=-11.50 (96%)</t>
  </si>
  <si>
    <t xml:space="preserve">Δ=-22.06 (184%)</t>
  </si>
  <si>
    <t xml:space="preserve">-3.18</t>
  </si>
  <si>
    <t xml:space="preserve">Δ=+0.42 (12%)</t>
  </si>
  <si>
    <t xml:space="preserve">0.124</t>
  </si>
  <si>
    <t xml:space="preserve">0.442</t>
  </si>
  <si>
    <t xml:space="preserve">prob=0.44 vs 0.00</t>
  </si>
  <si>
    <t xml:space="preserve">0.947</t>
  </si>
  <si>
    <t xml:space="preserve">prob=0.10 vs 0.50</t>
  </si>
  <si>
    <t xml:space="preserve">prob=0.95 vs 0.50</t>
  </si>
  <si>
    <t xml:space="preserve">2324</t>
  </si>
  <si>
    <t xml:space="preserve">120.7</t>
  </si>
  <si>
    <t xml:space="preserve">Δ=+2124.00 (1062%)</t>
  </si>
  <si>
    <t xml:space="preserve">Δ=-79.31 (40%)</t>
  </si>
  <si>
    <t xml:space="preserve">378.3</t>
  </si>
  <si>
    <t xml:space="preserve">419.4</t>
  </si>
  <si>
    <t xml:space="preserve">Δ=-41.07 (10%)</t>
  </si>
  <si>
    <t xml:space="preserve">1.81</t>
  </si>
  <si>
    <t xml:space="preserve">2.20</t>
  </si>
  <si>
    <t xml:space="preserve">Δ=-0.39 (18%)</t>
  </si>
  <si>
    <t xml:space="preserve">81.0</t>
  </si>
  <si>
    <t xml:space="preserve">Δ=-18.00 (18%)</t>
  </si>
  <si>
    <t xml:space="preserve">Δ=-47.80 (50%)</t>
  </si>
  <si>
    <t xml:space="preserve">Δ=+4.99 (5%)</t>
  </si>
  <si>
    <t xml:space="preserve">Δ=-22.80 (33%)</t>
  </si>
  <si>
    <t xml:space="preserve">Δ=+24.42 (35%)</t>
  </si>
  <si>
    <t xml:space="preserve">-5.30</t>
  </si>
  <si>
    <t xml:space="preserve">-4.28</t>
  </si>
  <si>
    <t xml:space="preserve">-5.20</t>
  </si>
  <si>
    <t xml:space="preserve">Δ=+0.92 (18%)</t>
  </si>
  <si>
    <t xml:space="preserve">0.921</t>
  </si>
  <si>
    <t xml:space="preserve">prob=0.92 vs 0.00</t>
  </si>
  <si>
    <t xml:space="preserve">85.6</t>
  </si>
  <si>
    <t xml:space="preserve">83.3</t>
  </si>
  <si>
    <t xml:space="preserve">Δ=-13.40 (14%)</t>
  </si>
  <si>
    <t xml:space="preserve">Δ=-15.65 (16%)</t>
  </si>
  <si>
    <t xml:space="preserve">1.46</t>
  </si>
  <si>
    <t xml:space="preserve">0.037</t>
  </si>
  <si>
    <t xml:space="preserve">0.250</t>
  </si>
  <si>
    <t xml:space="preserve">Δ=+1.21 (484%)</t>
  </si>
  <si>
    <t xml:space="preserve">Δ=-0.21 (85%)</t>
  </si>
  <si>
    <t xml:space="preserve">Δ=-28.02 (200%)</t>
  </si>
  <si>
    <t xml:space="preserve">-4.12</t>
  </si>
  <si>
    <t xml:space="preserve">Δ=+0.58 (12%)</t>
  </si>
  <si>
    <t xml:space="preserve">0.337</t>
  </si>
  <si>
    <t xml:space="preserve">0.291</t>
  </si>
  <si>
    <t xml:space="preserve">prob=0.29 vs 0.00</t>
  </si>
  <si>
    <t xml:space="preserve">0.904</t>
  </si>
  <si>
    <t xml:space="preserve">prob=0.90 vs 0.20</t>
  </si>
  <si>
    <t xml:space="preserve">2466</t>
  </si>
  <si>
    <t xml:space="preserve">464.0</t>
  </si>
  <si>
    <t xml:space="preserve">1500</t>
  </si>
  <si>
    <t xml:space="preserve">Δ=+966.00 (64%)</t>
  </si>
  <si>
    <t xml:space="preserve">Δ=-1035.97 (69%)</t>
  </si>
  <si>
    <t xml:space="preserve">Molecules — canonical SMILES, applicability domain, reference URLs</t>
  </si>
  <si>
    <t xml:space="preserve">SMILES (canonical)</t>
  </si>
  <si>
    <t xml:space="preserve">Tanimoto to nearest known</t>
  </si>
  <si>
    <t xml:space="preserve">Primary reference URL</t>
  </si>
  <si>
    <t xml:space="preserve">https://link.springer.com/article/10.2165/00003088-200342130-00005</t>
  </si>
  <si>
    <t xml:space="preserve">https://www.inchem.org/documents/pims/pharm/aspirin.htm</t>
  </si>
  <si>
    <t xml:space="preserve">https://onlinelibrary.wiley.com/doi/10.1002/9781118743614.ch4</t>
  </si>
  <si>
    <t xml:space="preserve">https://www.ncbi.nlm.nih.gov/books/NBK518983/</t>
  </si>
  <si>
    <t xml:space="preserve">https://www.ncbi.nlm.nih.gov/books/NBK470313/</t>
  </si>
  <si>
    <t xml:space="preserve">https://www.ncbi.nlm.nih.gov/books/NBK519490/</t>
  </si>
  <si>
    <t xml:space="preserve">https://www.ncbi.nlm.nih.gov/books/NBK548559/</t>
  </si>
  <si>
    <t xml:space="preserve">https://www.ahajournals.org/doi/10.1161/01.res.84.9.989</t>
  </si>
  <si>
    <t xml:space="preserve">https://pubmed.ncbi.nlm.nih.gov/787953/</t>
  </si>
  <si>
    <t xml:space="preserve">https://link.springer.com/article/10.2165/00003495-199957060-00015</t>
  </si>
  <si>
    <t xml:space="preserve">https://www.accessdata.fda.gov/drugsatfda_docs/label/2020/214787Orig1s000lbl.pdf</t>
  </si>
  <si>
    <t xml:space="preserve">https://www.accessdata.fda.gov/drugsatfda_docs/label/2023/217188s000lbl.pdf</t>
  </si>
  <si>
    <t xml:space="preserve">https://www.accessdata.fda.gov/drugsatfda_docs/label/2014/022535s000lbl.pdf</t>
  </si>
  <si>
    <t xml:space="preserve">https://www.accessdata.fda.gov/drugsatfda_docs/label/2018/020599s019lbl.pdf</t>
  </si>
  <si>
    <t xml:space="preserve">https://www.accessdata.fda.gov/drugsatfda_docs/label/2013/204790lbl.pdf</t>
  </si>
  <si>
    <t xml:space="preserve">Raw ADMET-AI Chemprop GNN output (all 98 fields, 41 TDC endpoints + percentiles + descriptors)</t>
  </si>
  <si>
    <t xml:space="preserve">molecular_weight</t>
  </si>
  <si>
    <t xml:space="preserve">logP</t>
  </si>
  <si>
    <t xml:space="preserve">hydrogen_bond_acceptors</t>
  </si>
  <si>
    <t xml:space="preserve">hydrogen_bond_donors</t>
  </si>
  <si>
    <t xml:space="preserve">Lipinski</t>
  </si>
  <si>
    <t xml:space="preserve">QED</t>
  </si>
  <si>
    <t xml:space="preserve">stereo_centers</t>
  </si>
  <si>
    <t xml:space="preserve">tpsa</t>
  </si>
  <si>
    <t xml:space="preserve">AMES</t>
  </si>
  <si>
    <t xml:space="preserve">BBB_Martins</t>
  </si>
  <si>
    <t xml:space="preserve">Bioavailability_Ma</t>
  </si>
  <si>
    <t xml:space="preserve">CYP1A2_Veith</t>
  </si>
  <si>
    <t xml:space="preserve">CYP2C19_Veith</t>
  </si>
  <si>
    <t xml:space="preserve">CYP2C9_Substrate_CarbonMangels</t>
  </si>
  <si>
    <t xml:space="preserve">CYP2C9_Veith</t>
  </si>
  <si>
    <t xml:space="preserve">CYP2D6_Substrate_CarbonMangels</t>
  </si>
  <si>
    <t xml:space="preserve">CYP2D6_Veith</t>
  </si>
  <si>
    <t xml:space="preserve">CYP3A4_Substrate_CarbonMangels</t>
  </si>
  <si>
    <t xml:space="preserve">CYP3A4_Veith</t>
  </si>
  <si>
    <t xml:space="preserve">Carcinogens_Lagunin</t>
  </si>
  <si>
    <t xml:space="preserve">ClinTox</t>
  </si>
  <si>
    <t xml:space="preserve">DILI</t>
  </si>
  <si>
    <t xml:space="preserve">HIA_Hou</t>
  </si>
  <si>
    <t xml:space="preserve">NR-AR-LBD</t>
  </si>
  <si>
    <t xml:space="preserve">NR-AR</t>
  </si>
  <si>
    <t xml:space="preserve">NR-AhR</t>
  </si>
  <si>
    <t xml:space="preserve">NR-Aromatase</t>
  </si>
  <si>
    <t xml:space="preserve">NR-ER-LBD</t>
  </si>
  <si>
    <t xml:space="preserve">NR-ER</t>
  </si>
  <si>
    <t xml:space="preserve">NR-PPAR-gamma</t>
  </si>
  <si>
    <t xml:space="preserve">PAMPA_NCATS</t>
  </si>
  <si>
    <t xml:space="preserve">Pgp_Broccatelli</t>
  </si>
  <si>
    <t xml:space="preserve">SR-ARE</t>
  </si>
  <si>
    <t xml:space="preserve">SR-ATAD5</t>
  </si>
  <si>
    <t xml:space="preserve">SR-HSE</t>
  </si>
  <si>
    <t xml:space="preserve">SR-MMP</t>
  </si>
  <si>
    <t xml:space="preserve">SR-p53</t>
  </si>
  <si>
    <t xml:space="preserve">Skin_Reaction</t>
  </si>
  <si>
    <t xml:space="preserve">hERG</t>
  </si>
  <si>
    <t xml:space="preserve">Caco2_Wang</t>
  </si>
  <si>
    <t xml:space="preserve">Clearance_Hepatocyte_AZ</t>
  </si>
  <si>
    <t xml:space="preserve">Clearance_Microsome_AZ</t>
  </si>
  <si>
    <t xml:space="preserve">Half_Life_Obach</t>
  </si>
  <si>
    <t xml:space="preserve">HydrationFreeEnergy_FreeSolv</t>
  </si>
  <si>
    <t xml:space="preserve">LD50_Zhu</t>
  </si>
  <si>
    <t xml:space="preserve">Lipophilicity_AstraZeneca</t>
  </si>
  <si>
    <t xml:space="preserve">PPBR_AZ</t>
  </si>
  <si>
    <t xml:space="preserve">Solubility_AqSolDB</t>
  </si>
  <si>
    <t xml:space="preserve">VDss_Lombardo</t>
  </si>
  <si>
    <t xml:space="preserve">molecular_weight_drugbank_approved_percentile</t>
  </si>
  <si>
    <t xml:space="preserve">logP_drugbank_approved_percentile</t>
  </si>
  <si>
    <t xml:space="preserve">hydrogen_bond_acceptors_drugbank_approved_percentile</t>
  </si>
  <si>
    <t xml:space="preserve">hydrogen_bond_donors_drugbank_approved_percentile</t>
  </si>
  <si>
    <t xml:space="preserve">Lipinski_drugbank_approved_percentile</t>
  </si>
  <si>
    <t xml:space="preserve">QED_drugbank_approved_percentile</t>
  </si>
  <si>
    <t xml:space="preserve">stereo_centers_drugbank_approved_percentile</t>
  </si>
  <si>
    <t xml:space="preserve">tpsa_drugbank_approved_percentile</t>
  </si>
  <si>
    <t xml:space="preserve">AMES_drugbank_approved_percentile</t>
  </si>
  <si>
    <t xml:space="preserve">BBB_Martins_drugbank_approved_percentile</t>
  </si>
  <si>
    <t xml:space="preserve">Bioavailability_Ma_drugbank_approved_percentile</t>
  </si>
  <si>
    <t xml:space="preserve">CYP1A2_Veith_drugbank_approved_percentile</t>
  </si>
  <si>
    <t xml:space="preserve">CYP2C19_Veith_drugbank_approved_percentile</t>
  </si>
  <si>
    <t xml:space="preserve">CYP2C9_Substrate_CarbonMangels_drugbank_approved_percentile</t>
  </si>
  <si>
    <t xml:space="preserve">CYP2C9_Veith_drugbank_approved_percentile</t>
  </si>
  <si>
    <t xml:space="preserve">CYP2D6_Substrate_CarbonMangels_drugbank_approved_percentile</t>
  </si>
  <si>
    <t xml:space="preserve">CYP2D6_Veith_drugbank_approved_percentile</t>
  </si>
  <si>
    <t xml:space="preserve">CYP3A4_Substrate_CarbonMangels_drugbank_approved_percentile</t>
  </si>
  <si>
    <t xml:space="preserve">CYP3A4_Veith_drugbank_approved_percentile</t>
  </si>
  <si>
    <t xml:space="preserve">Carcinogens_Lagunin_drugbank_approved_percentile</t>
  </si>
  <si>
    <t xml:space="preserve">ClinTox_drugbank_approved_percentile</t>
  </si>
  <si>
    <t xml:space="preserve">DILI_drugbank_approved_percentile</t>
  </si>
  <si>
    <t xml:space="preserve">HIA_Hou_drugbank_approved_percentile</t>
  </si>
  <si>
    <t xml:space="preserve">NR-AR-LBD_drugbank_approved_percentile</t>
  </si>
  <si>
    <t xml:space="preserve">NR-AR_drugbank_approved_percentile</t>
  </si>
  <si>
    <t xml:space="preserve">NR-AhR_drugbank_approved_percentile</t>
  </si>
  <si>
    <t xml:space="preserve">NR-Aromatase_drugbank_approved_percentile</t>
  </si>
  <si>
    <t xml:space="preserve">NR-ER-LBD_drugbank_approved_percentile</t>
  </si>
  <si>
    <t xml:space="preserve">NR-ER_drugbank_approved_percentile</t>
  </si>
  <si>
    <t xml:space="preserve">NR-PPAR-gamma_drugbank_approved_percentile</t>
  </si>
  <si>
    <t xml:space="preserve">PAMPA_NCATS_drugbank_approved_percentile</t>
  </si>
  <si>
    <t xml:space="preserve">Pgp_Broccatelli_drugbank_approved_percentile</t>
  </si>
  <si>
    <t xml:space="preserve">SR-ARE_drugbank_approved_percentile</t>
  </si>
  <si>
    <t xml:space="preserve">SR-ATAD5_drugbank_approved_percentile</t>
  </si>
  <si>
    <t xml:space="preserve">SR-HSE_drugbank_approved_percentile</t>
  </si>
  <si>
    <t xml:space="preserve">SR-MMP_drugbank_approved_percentile</t>
  </si>
  <si>
    <t xml:space="preserve">SR-p53_drugbank_approved_percentile</t>
  </si>
  <si>
    <t xml:space="preserve">Skin_Reaction_drugbank_approved_percentile</t>
  </si>
  <si>
    <t xml:space="preserve">hERG_drugbank_approved_percentile</t>
  </si>
  <si>
    <t xml:space="preserve">Caco2_Wang_drugbank_approved_percentile</t>
  </si>
  <si>
    <t xml:space="preserve">Clearance_Hepatocyte_AZ_drugbank_approved_percentile</t>
  </si>
  <si>
    <t xml:space="preserve">Clearance_Microsome_AZ_drugbank_approved_percentile</t>
  </si>
  <si>
    <t xml:space="preserve">Half_Life_Obach_drugbank_approved_percentile</t>
  </si>
  <si>
    <t xml:space="preserve">HydrationFreeEnergy_FreeSolv_drugbank_approved_percentile</t>
  </si>
  <si>
    <t xml:space="preserve">LD50_Zhu_drugbank_approved_percentile</t>
  </si>
  <si>
    <t xml:space="preserve">Lipophilicity_AstraZeneca_drugbank_approved_percentile</t>
  </si>
  <si>
    <t xml:space="preserve">PPBR_AZ_drugbank_approved_percentile</t>
  </si>
  <si>
    <t xml:space="preserve">Solubility_AqSolDB_drugbank_approved_percentile</t>
  </si>
  <si>
    <t xml:space="preserve">VDss_Lombardo_drugbank_approved_percentile</t>
  </si>
  <si>
    <t xml:space="preserve">0.163</t>
  </si>
  <si>
    <t xml:space="preserve">0.717</t>
  </si>
  <si>
    <t xml:space="preserve">0.196</t>
  </si>
  <si>
    <t xml:space="preserve">0.441</t>
  </si>
  <si>
    <t xml:space="preserve">0.437</t>
  </si>
  <si>
    <t xml:space="preserve">0.654</t>
  </si>
  <si>
    <t xml:space="preserve">0.039</t>
  </si>
  <si>
    <t xml:space="preserve">0.222</t>
  </si>
  <si>
    <t xml:space="preserve">0.634</t>
  </si>
  <si>
    <t xml:space="preserve">0.351</t>
  </si>
  <si>
    <t xml:space="preserve">0.434</t>
  </si>
  <si>
    <t xml:space="preserve">0.135</t>
  </si>
  <si>
    <t xml:space="preserve">0.972</t>
  </si>
  <si>
    <t xml:space="preserve">0.011</t>
  </si>
  <si>
    <t xml:space="preserve">0.015</t>
  </si>
  <si>
    <t xml:space="preserve">0.139</t>
  </si>
  <si>
    <t xml:space="preserve">0.379</t>
  </si>
  <si>
    <t xml:space="preserve">0.082</t>
  </si>
  <si>
    <t xml:space="preserve">0.364</t>
  </si>
  <si>
    <t xml:space="preserve">0.372</t>
  </si>
  <si>
    <t xml:space="preserve">0.744</t>
  </si>
  <si>
    <t xml:space="preserve">0.249</t>
  </si>
  <si>
    <t xml:space="preserve">0.568</t>
  </si>
  <si>
    <t xml:space="preserve">0.072</t>
  </si>
  <si>
    <t xml:space="preserve">0.180</t>
  </si>
  <si>
    <t xml:space="preserve">5.72</t>
  </si>
  <si>
    <t xml:space="preserve">16.2</t>
  </si>
  <si>
    <t xml:space="preserve">-10.5</t>
  </si>
  <si>
    <t xml:space="preserve">3.55</t>
  </si>
  <si>
    <t xml:space="preserve">-0.389</t>
  </si>
  <si>
    <t xml:space="preserve">86.5</t>
  </si>
  <si>
    <t xml:space="preserve">95.4</t>
  </si>
  <si>
    <t xml:space="preserve">46.5</t>
  </si>
  <si>
    <t xml:space="preserve">86.0</t>
  </si>
  <si>
    <t xml:space="preserve">9.85</t>
  </si>
  <si>
    <t xml:space="preserve">9.62</t>
  </si>
  <si>
    <t xml:space="preserve">68.9</t>
  </si>
  <si>
    <t xml:space="preserve">73.9</t>
  </si>
  <si>
    <t xml:space="preserve">25.3</t>
  </si>
  <si>
    <t xml:space="preserve">38.8</t>
  </si>
  <si>
    <t xml:space="preserve">69.6</t>
  </si>
  <si>
    <t xml:space="preserve">81.3</t>
  </si>
  <si>
    <t xml:space="preserve">90.2</t>
  </si>
  <si>
    <t xml:space="preserve">93.9</t>
  </si>
  <si>
    <t xml:space="preserve">27.6</t>
  </si>
  <si>
    <t xml:space="preserve">75.1</t>
  </si>
  <si>
    <t xml:space="preserve">64.8</t>
  </si>
  <si>
    <t xml:space="preserve">74.3</t>
  </si>
  <si>
    <t xml:space="preserve">84.8</t>
  </si>
  <si>
    <t xml:space="preserve">57.7</t>
  </si>
  <si>
    <t xml:space="preserve">72.7</t>
  </si>
  <si>
    <t xml:space="preserve">33.9</t>
  </si>
  <si>
    <t xml:space="preserve">51.1</t>
  </si>
  <si>
    <t xml:space="preserve">36.4</t>
  </si>
  <si>
    <t xml:space="preserve">45.4</t>
  </si>
  <si>
    <t xml:space="preserve">98.1</t>
  </si>
  <si>
    <t xml:space="preserve">28.6</t>
  </si>
  <si>
    <t xml:space="preserve">85.8</t>
  </si>
  <si>
    <t xml:space="preserve">66.6</t>
  </si>
  <si>
    <t xml:space="preserve">52.3</t>
  </si>
  <si>
    <t xml:space="preserve">88.4</t>
  </si>
  <si>
    <t xml:space="preserve">87.9</t>
  </si>
  <si>
    <t xml:space="preserve">74.7</t>
  </si>
  <si>
    <t xml:space="preserve">27.5</t>
  </si>
  <si>
    <t xml:space="preserve">19.5</t>
  </si>
  <si>
    <t xml:space="preserve">47.7</t>
  </si>
  <si>
    <t xml:space="preserve">91.6</t>
  </si>
  <si>
    <t xml:space="preserve">41.4</t>
  </si>
  <si>
    <t xml:space="preserve">55.4</t>
  </si>
  <si>
    <t xml:space="preserve">87.5</t>
  </si>
  <si>
    <t xml:space="preserve">20.7</t>
  </si>
  <si>
    <t xml:space="preserve">33.3</t>
  </si>
  <si>
    <t xml:space="preserve">0.550</t>
  </si>
  <si>
    <t xml:space="preserve">0.873</t>
  </si>
  <si>
    <t xml:space="preserve">0.016</t>
  </si>
  <si>
    <t xml:space="preserve">0.012</t>
  </si>
  <si>
    <t xml:space="preserve">0.368</t>
  </si>
  <si>
    <t xml:space="preserve">0.032</t>
  </si>
  <si>
    <t xml:space="preserve">0.025</t>
  </si>
  <si>
    <t xml:space="preserve">0.007</t>
  </si>
  <si>
    <t xml:space="preserve">0.093</t>
  </si>
  <si>
    <t xml:space="preserve">0.253</t>
  </si>
  <si>
    <t xml:space="preserve">0.137</t>
  </si>
  <si>
    <t xml:space="preserve">0.997</t>
  </si>
  <si>
    <t xml:space="preserve">0.002</t>
  </si>
  <si>
    <t xml:space="preserve">0.023</t>
  </si>
  <si>
    <t xml:space="preserve">0.001</t>
  </si>
  <si>
    <t xml:space="preserve">0.004</t>
  </si>
  <si>
    <t xml:space="preserve">0.029</t>
  </si>
  <si>
    <t xml:space="preserve">0.267</t>
  </si>
  <si>
    <t xml:space="preserve">0.009</t>
  </si>
  <si>
    <t xml:space="preserve">0.307</t>
  </si>
  <si>
    <t xml:space="preserve">22.3</t>
  </si>
  <si>
    <t xml:space="preserve">29.7</t>
  </si>
  <si>
    <t xml:space="preserve">-8.79</t>
  </si>
  <si>
    <t xml:space="preserve">2.21</t>
  </si>
  <si>
    <t xml:space="preserve">-1.63</t>
  </si>
  <si>
    <t xml:space="preserve">6.69</t>
  </si>
  <si>
    <t xml:space="preserve">14.3</t>
  </si>
  <si>
    <t xml:space="preserve">36.3</t>
  </si>
  <si>
    <t xml:space="preserve">31.2</t>
  </si>
  <si>
    <t xml:space="preserve">36.7</t>
  </si>
  <si>
    <t xml:space="preserve">63.8</t>
  </si>
  <si>
    <t xml:space="preserve">54.5</t>
  </si>
  <si>
    <t xml:space="preserve">22.5</t>
  </si>
  <si>
    <t xml:space="preserve">41.7</t>
  </si>
  <si>
    <t xml:space="preserve">19.9</t>
  </si>
  <si>
    <t xml:space="preserve">56.9</t>
  </si>
  <si>
    <t xml:space="preserve">65.8</t>
  </si>
  <si>
    <t xml:space="preserve">38.6</t>
  </si>
  <si>
    <t xml:space="preserve">18.4</t>
  </si>
  <si>
    <t xml:space="preserve">47.6</t>
  </si>
  <si>
    <t xml:space="preserve">18.6</t>
  </si>
  <si>
    <t xml:space="preserve">8.88</t>
  </si>
  <si>
    <t xml:space="preserve">11.5</t>
  </si>
  <si>
    <t xml:space="preserve">66.7</t>
  </si>
  <si>
    <t xml:space="preserve">58.1</t>
  </si>
  <si>
    <t xml:space="preserve">76.5</t>
  </si>
  <si>
    <t xml:space="preserve">54.2</t>
  </si>
  <si>
    <t xml:space="preserve">17.7</t>
  </si>
  <si>
    <t xml:space="preserve">49.2</t>
  </si>
  <si>
    <t xml:space="preserve">12.3</t>
  </si>
  <si>
    <t xml:space="preserve">16.8</t>
  </si>
  <si>
    <t xml:space="preserve">11.7</t>
  </si>
  <si>
    <t xml:space="preserve">48.6</t>
  </si>
  <si>
    <t xml:space="preserve">24.2</t>
  </si>
  <si>
    <t xml:space="preserve">8.38</t>
  </si>
  <si>
    <t xml:space="preserve">26.8</t>
  </si>
  <si>
    <t xml:space="preserve">37.0</t>
  </si>
  <si>
    <t xml:space="preserve">17.2</t>
  </si>
  <si>
    <t xml:space="preserve">18.7</t>
  </si>
  <si>
    <t xml:space="preserve">3.14</t>
  </si>
  <si>
    <t xml:space="preserve">35.1</t>
  </si>
  <si>
    <t xml:space="preserve">43.4</t>
  </si>
  <si>
    <t xml:space="preserve">58.6</t>
  </si>
  <si>
    <t xml:space="preserve">30.8</t>
  </si>
  <si>
    <t xml:space="preserve">7.56</t>
  </si>
  <si>
    <t xml:space="preserve">47.3</t>
  </si>
  <si>
    <t xml:space="preserve">77.3</t>
  </si>
  <si>
    <t xml:space="preserve">82.7</t>
  </si>
  <si>
    <t xml:space="preserve">0.822</t>
  </si>
  <si>
    <t xml:space="preserve">0.945</t>
  </si>
  <si>
    <t xml:space="preserve">0.075</t>
  </si>
  <si>
    <t xml:space="preserve">0.653</t>
  </si>
  <si>
    <t xml:space="preserve">0.095</t>
  </si>
  <si>
    <t xml:space="preserve">0.036</t>
  </si>
  <si>
    <t xml:space="preserve">0.258</t>
  </si>
  <si>
    <t xml:space="preserve">0.477</t>
  </si>
  <si>
    <t xml:space="preserve">0.999</t>
  </si>
  <si>
    <t xml:space="preserve">0.005</t>
  </si>
  <si>
    <t xml:space="preserve">0.019</t>
  </si>
  <si>
    <t xml:space="preserve">0.608</t>
  </si>
  <si>
    <t xml:space="preserve">0.010</t>
  </si>
  <si>
    <t xml:space="preserve">0.042</t>
  </si>
  <si>
    <t xml:space="preserve">0.393</t>
  </si>
  <si>
    <t xml:space="preserve">0.678</t>
  </si>
  <si>
    <t xml:space="preserve">-6.95</t>
  </si>
  <si>
    <t xml:space="preserve">2.39</t>
  </si>
  <si>
    <t xml:space="preserve">0.874</t>
  </si>
  <si>
    <t xml:space="preserve">1.12</t>
  </si>
  <si>
    <t xml:space="preserve">18.5</t>
  </si>
  <si>
    <t xml:space="preserve">62.8</t>
  </si>
  <si>
    <t xml:space="preserve">6.65</t>
  </si>
  <si>
    <t xml:space="preserve">91.7</t>
  </si>
  <si>
    <t xml:space="preserve">54.8</t>
  </si>
  <si>
    <t xml:space="preserve">31.5</t>
  </si>
  <si>
    <t xml:space="preserve">24.4</t>
  </si>
  <si>
    <t xml:space="preserve">44.5</t>
  </si>
  <si>
    <t xml:space="preserve">97.9</t>
  </si>
  <si>
    <t xml:space="preserve">64.5</t>
  </si>
  <si>
    <t xml:space="preserve">26.4</t>
  </si>
  <si>
    <t xml:space="preserve">21.7</t>
  </si>
  <si>
    <t xml:space="preserve">29.2</t>
  </si>
  <si>
    <t xml:space="preserve">23.3</t>
  </si>
  <si>
    <t xml:space="preserve">87.4</t>
  </si>
  <si>
    <t xml:space="preserve">13.0</t>
  </si>
  <si>
    <t xml:space="preserve">68.6</t>
  </si>
  <si>
    <t xml:space="preserve">3.72</t>
  </si>
  <si>
    <t xml:space="preserve">19.4</t>
  </si>
  <si>
    <t xml:space="preserve">51.6</t>
  </si>
  <si>
    <t xml:space="preserve">67.0</t>
  </si>
  <si>
    <t xml:space="preserve">9.73</t>
  </si>
  <si>
    <t xml:space="preserve">22.4</t>
  </si>
  <si>
    <t xml:space="preserve">51.8</t>
  </si>
  <si>
    <t xml:space="preserve">10.2</t>
  </si>
  <si>
    <t xml:space="preserve">46.7</t>
  </si>
  <si>
    <t xml:space="preserve">7.52</t>
  </si>
  <si>
    <t xml:space="preserve">34.9</t>
  </si>
  <si>
    <t xml:space="preserve">75.6</t>
  </si>
  <si>
    <t xml:space="preserve">41.3</t>
  </si>
  <si>
    <t xml:space="preserve">40.3</t>
  </si>
  <si>
    <t xml:space="preserve">51.7</t>
  </si>
  <si>
    <t xml:space="preserve">46.3</t>
  </si>
  <si>
    <t xml:space="preserve">0.698</t>
  </si>
  <si>
    <t xml:space="preserve">0.098</t>
  </si>
  <si>
    <t xml:space="preserve">0.055</t>
  </si>
  <si>
    <t xml:space="preserve">0.882</t>
  </si>
  <si>
    <t xml:space="preserve">0.013</t>
  </si>
  <si>
    <t xml:space="preserve">0.052</t>
  </si>
  <si>
    <t xml:space="preserve">0.159</t>
  </si>
  <si>
    <t xml:space="preserve">0.026</t>
  </si>
  <si>
    <t xml:space="preserve">0.651</t>
  </si>
  <si>
    <t xml:space="preserve">-52.1</t>
  </si>
  <si>
    <t xml:space="preserve">-10.6</t>
  </si>
  <si>
    <t xml:space="preserve">-12.8</t>
  </si>
  <si>
    <t xml:space="preserve">1.67</t>
  </si>
  <si>
    <t xml:space="preserve">-1.49</t>
  </si>
  <si>
    <t xml:space="preserve">-5.38</t>
  </si>
  <si>
    <t xml:space="preserve">6.32</t>
  </si>
  <si>
    <t xml:space="preserve">15.4</t>
  </si>
  <si>
    <t xml:space="preserve">16.4</t>
  </si>
  <si>
    <t xml:space="preserve">16.1</t>
  </si>
  <si>
    <t xml:space="preserve">26.1</t>
  </si>
  <si>
    <t xml:space="preserve">31.4</t>
  </si>
  <si>
    <t xml:space="preserve">36.2</t>
  </si>
  <si>
    <t xml:space="preserve">24.9</t>
  </si>
  <si>
    <t xml:space="preserve">8.45</t>
  </si>
  <si>
    <t xml:space="preserve">5.47</t>
  </si>
  <si>
    <t xml:space="preserve">8.22</t>
  </si>
  <si>
    <t xml:space="preserve">48.3</t>
  </si>
  <si>
    <t xml:space="preserve">30.0</t>
  </si>
  <si>
    <t xml:space="preserve">3.06</t>
  </si>
  <si>
    <t xml:space="preserve">10.0</t>
  </si>
  <si>
    <t xml:space="preserve">8.03</t>
  </si>
  <si>
    <t xml:space="preserve">8.72</t>
  </si>
  <si>
    <t xml:space="preserve">25.0</t>
  </si>
  <si>
    <t xml:space="preserve">30.5</t>
  </si>
  <si>
    <t xml:space="preserve">28.2</t>
  </si>
  <si>
    <t xml:space="preserve">4.77</t>
  </si>
  <si>
    <t xml:space="preserve">28.0</t>
  </si>
  <si>
    <t xml:space="preserve">4.46</t>
  </si>
  <si>
    <t xml:space="preserve">17.6</t>
  </si>
  <si>
    <t xml:space="preserve">9.31</t>
  </si>
  <si>
    <t xml:space="preserve">19.7</t>
  </si>
  <si>
    <t xml:space="preserve">9.15</t>
  </si>
  <si>
    <t xml:space="preserve">19.8</t>
  </si>
  <si>
    <t xml:space="preserve">8.61</t>
  </si>
  <si>
    <t xml:space="preserve">71.5</t>
  </si>
  <si>
    <t xml:space="preserve">10.9</t>
  </si>
  <si>
    <t xml:space="preserve">6.05</t>
  </si>
  <si>
    <t xml:space="preserve">1.40</t>
  </si>
  <si>
    <t xml:space="preserve">21.9</t>
  </si>
  <si>
    <t xml:space="preserve">9.54</t>
  </si>
  <si>
    <t xml:space="preserve">8.80</t>
  </si>
  <si>
    <t xml:space="preserve">79.8</t>
  </si>
  <si>
    <t xml:space="preserve">7.79</t>
  </si>
  <si>
    <t xml:space="preserve">0.748</t>
  </si>
  <si>
    <t xml:space="preserve">0.834</t>
  </si>
  <si>
    <t xml:space="preserve">0.572</t>
  </si>
  <si>
    <t xml:space="preserve">0.752</t>
  </si>
  <si>
    <t xml:space="preserve">0.724</t>
  </si>
  <si>
    <t xml:space="preserve">0.823</t>
  </si>
  <si>
    <t xml:space="preserve">0.168</t>
  </si>
  <si>
    <t xml:space="preserve">0.081</t>
  </si>
  <si>
    <t xml:space="preserve">0.534</t>
  </si>
  <si>
    <t xml:space="preserve">0.215</t>
  </si>
  <si>
    <t xml:space="preserve">1.000</t>
  </si>
  <si>
    <t xml:space="preserve">0.060</t>
  </si>
  <si>
    <t xml:space="preserve">0.317</t>
  </si>
  <si>
    <t xml:space="preserve">0.177</t>
  </si>
  <si>
    <t xml:space="preserve">0.158</t>
  </si>
  <si>
    <t xml:space="preserve">0.377</t>
  </si>
  <si>
    <t xml:space="preserve">0.385</t>
  </si>
  <si>
    <t xml:space="preserve">0.934</t>
  </si>
  <si>
    <t xml:space="preserve">0.312</t>
  </si>
  <si>
    <t xml:space="preserve">0.115</t>
  </si>
  <si>
    <t xml:space="preserve">0.111</t>
  </si>
  <si>
    <t xml:space="preserve">0.790</t>
  </si>
  <si>
    <t xml:space="preserve">0.149</t>
  </si>
  <si>
    <t xml:space="preserve">0.160</t>
  </si>
  <si>
    <t xml:space="preserve">23.1</t>
  </si>
  <si>
    <t xml:space="preserve">-10.3</t>
  </si>
  <si>
    <t xml:space="preserve">3.39</t>
  </si>
  <si>
    <t xml:space="preserve">3.77</t>
  </si>
  <si>
    <t xml:space="preserve">43.1</t>
  </si>
  <si>
    <t xml:space="preserve">71.4</t>
  </si>
  <si>
    <t xml:space="preserve">81.9</t>
  </si>
  <si>
    <t xml:space="preserve">44.7</t>
  </si>
  <si>
    <t xml:space="preserve">19.3</t>
  </si>
  <si>
    <t xml:space="preserve">32.5</t>
  </si>
  <si>
    <t xml:space="preserve">57.4</t>
  </si>
  <si>
    <t xml:space="preserve">93.0</t>
  </si>
  <si>
    <t xml:space="preserve">99.1</t>
  </si>
  <si>
    <t xml:space="preserve">61.7</t>
  </si>
  <si>
    <t xml:space="preserve">58.5</t>
  </si>
  <si>
    <t xml:space="preserve">54.4</t>
  </si>
  <si>
    <t xml:space="preserve">60.6</t>
  </si>
  <si>
    <t xml:space="preserve">30.1</t>
  </si>
  <si>
    <t xml:space="preserve">72.4</t>
  </si>
  <si>
    <t xml:space="preserve">77.6</t>
  </si>
  <si>
    <t xml:space="preserve">87.6</t>
  </si>
  <si>
    <t xml:space="preserve">83.2</t>
  </si>
  <si>
    <t xml:space="preserve">92.1</t>
  </si>
  <si>
    <t xml:space="preserve">67.1</t>
  </si>
  <si>
    <t xml:space="preserve">95.1</t>
  </si>
  <si>
    <t xml:space="preserve">80.8</t>
  </si>
  <si>
    <t xml:space="preserve">15.0</t>
  </si>
  <si>
    <t xml:space="preserve">40.7</t>
  </si>
  <si>
    <t xml:space="preserve">91.4</t>
  </si>
  <si>
    <t xml:space="preserve">35.8</t>
  </si>
  <si>
    <t xml:space="preserve">44.9</t>
  </si>
  <si>
    <t xml:space="preserve">43.2</t>
  </si>
  <si>
    <t xml:space="preserve">53.9</t>
  </si>
  <si>
    <t xml:space="preserve">93.4</t>
  </si>
  <si>
    <t xml:space="preserve">0.538</t>
  </si>
  <si>
    <t xml:space="preserve">0.932</t>
  </si>
  <si>
    <t xml:space="preserve">0.116</t>
  </si>
  <si>
    <t xml:space="preserve">0.432</t>
  </si>
  <si>
    <t xml:space="preserve">0.165</t>
  </si>
  <si>
    <t xml:space="preserve">0.493</t>
  </si>
  <si>
    <t xml:space="preserve">0.046</t>
  </si>
  <si>
    <t xml:space="preserve">0.066</t>
  </si>
  <si>
    <t xml:space="preserve">0.020</t>
  </si>
  <si>
    <t xml:space="preserve">0.105</t>
  </si>
  <si>
    <t xml:space="preserve">0.674</t>
  </si>
  <si>
    <t xml:space="preserve">2.23</t>
  </si>
  <si>
    <t xml:space="preserve">-12.5</t>
  </si>
  <si>
    <t xml:space="preserve">2.63</t>
  </si>
  <si>
    <t xml:space="preserve">0.903</t>
  </si>
  <si>
    <t xml:space="preserve">16.6</t>
  </si>
  <si>
    <t xml:space="preserve">11.8</t>
  </si>
  <si>
    <t xml:space="preserve">39.7</t>
  </si>
  <si>
    <t xml:space="preserve">48.2</t>
  </si>
  <si>
    <t xml:space="preserve">83.8</t>
  </si>
  <si>
    <t xml:space="preserve">62.2</t>
  </si>
  <si>
    <t xml:space="preserve">6.98</t>
  </si>
  <si>
    <t xml:space="preserve">89.7</t>
  </si>
  <si>
    <t xml:space="preserve">14.5</t>
  </si>
  <si>
    <t xml:space="preserve">61.2</t>
  </si>
  <si>
    <t xml:space="preserve">4.96</t>
  </si>
  <si>
    <t xml:space="preserve">50.7</t>
  </si>
  <si>
    <t xml:space="preserve">42.1</t>
  </si>
  <si>
    <t xml:space="preserve">77.5</t>
  </si>
  <si>
    <t xml:space="preserve">71.3</t>
  </si>
  <si>
    <t xml:space="preserve">27.1</t>
  </si>
  <si>
    <t xml:space="preserve">43.9</t>
  </si>
  <si>
    <t xml:space="preserve">8.65</t>
  </si>
  <si>
    <t xml:space="preserve">6.67</t>
  </si>
  <si>
    <t xml:space="preserve">17.5</t>
  </si>
  <si>
    <t xml:space="preserve">61.1</t>
  </si>
  <si>
    <t xml:space="preserve">52.2</t>
  </si>
  <si>
    <t xml:space="preserve">11.1</t>
  </si>
  <si>
    <t xml:space="preserve">38.7</t>
  </si>
  <si>
    <t xml:space="preserve">22.8</t>
  </si>
  <si>
    <t xml:space="preserve">73.3</t>
  </si>
  <si>
    <t xml:space="preserve">32.6</t>
  </si>
  <si>
    <t xml:space="preserve">24.5</t>
  </si>
  <si>
    <t xml:space="preserve">56.6</t>
  </si>
  <si>
    <t xml:space="preserve">28.8</t>
  </si>
  <si>
    <t xml:space="preserve">86.9</t>
  </si>
  <si>
    <t xml:space="preserve">44.2</t>
  </si>
  <si>
    <t xml:space="preserve">7.00</t>
  </si>
  <si>
    <t xml:space="preserve">0.389</t>
  </si>
  <si>
    <t xml:space="preserve">0.851</t>
  </si>
  <si>
    <t xml:space="preserve">0.170</t>
  </si>
  <si>
    <t xml:space="preserve">0.221</t>
  </si>
  <si>
    <t xml:space="preserve">0.423</t>
  </si>
  <si>
    <t xml:space="preserve">0.179</t>
  </si>
  <si>
    <t xml:space="preserve">0.305</t>
  </si>
  <si>
    <t xml:space="preserve">0.398</t>
  </si>
  <si>
    <t xml:space="preserve">0.791</t>
  </si>
  <si>
    <t xml:space="preserve">0.857</t>
  </si>
  <si>
    <t xml:space="preserve">0.454</t>
  </si>
  <si>
    <t xml:space="preserve">0.899</t>
  </si>
  <si>
    <t xml:space="preserve">0.992</t>
  </si>
  <si>
    <t xml:space="preserve">0.063</t>
  </si>
  <si>
    <t xml:space="preserve">0.732</t>
  </si>
  <si>
    <t xml:space="preserve">0.268</t>
  </si>
  <si>
    <t xml:space="preserve">0.263</t>
  </si>
  <si>
    <t xml:space="preserve">-11.2</t>
  </si>
  <si>
    <t xml:space="preserve">2.62</t>
  </si>
  <si>
    <t xml:space="preserve">2.35</t>
  </si>
  <si>
    <t xml:space="preserve">8.71</t>
  </si>
  <si>
    <t xml:space="preserve">81.1</t>
  </si>
  <si>
    <t xml:space="preserve">77.4</t>
  </si>
  <si>
    <t xml:space="preserve">60.9</t>
  </si>
  <si>
    <t xml:space="preserve">32.8</t>
  </si>
  <si>
    <t xml:space="preserve">63.9</t>
  </si>
  <si>
    <t xml:space="preserve">37.4</t>
  </si>
  <si>
    <t xml:space="preserve">61.0</t>
  </si>
  <si>
    <t xml:space="preserve">67.9</t>
  </si>
  <si>
    <t xml:space="preserve">66.0</t>
  </si>
  <si>
    <t xml:space="preserve">88.9</t>
  </si>
  <si>
    <t xml:space="preserve">74.5</t>
  </si>
  <si>
    <t xml:space="preserve">82.8</t>
  </si>
  <si>
    <t xml:space="preserve">86.6</t>
  </si>
  <si>
    <t xml:space="preserve">85.3</t>
  </si>
  <si>
    <t xml:space="preserve">43.7</t>
  </si>
  <si>
    <t xml:space="preserve">35.7</t>
  </si>
  <si>
    <t xml:space="preserve">84.9</t>
  </si>
  <si>
    <t xml:space="preserve">65.2</t>
  </si>
  <si>
    <t xml:space="preserve">33.7</t>
  </si>
  <si>
    <t xml:space="preserve">13.9</t>
  </si>
  <si>
    <t xml:space="preserve">59.1</t>
  </si>
  <si>
    <t xml:space="preserve">62.4</t>
  </si>
  <si>
    <t xml:space="preserve">56.5</t>
  </si>
  <si>
    <t xml:space="preserve">70.5</t>
  </si>
  <si>
    <t xml:space="preserve">73.0</t>
  </si>
  <si>
    <t xml:space="preserve">70.8</t>
  </si>
  <si>
    <t xml:space="preserve">95.8</t>
  </si>
  <si>
    <t xml:space="preserve">34.3</t>
  </si>
  <si>
    <t xml:space="preserve">82.4</t>
  </si>
  <si>
    <t xml:space="preserve">34.2</t>
  </si>
  <si>
    <t xml:space="preserve">56.3</t>
  </si>
  <si>
    <t xml:space="preserve">77.1</t>
  </si>
  <si>
    <t xml:space="preserve">37.9</t>
  </si>
  <si>
    <t xml:space="preserve">88.7</t>
  </si>
  <si>
    <t xml:space="preserve">0.420</t>
  </si>
  <si>
    <t xml:space="preserve">0.763</t>
  </si>
  <si>
    <t xml:space="preserve">0.086</t>
  </si>
  <si>
    <t xml:space="preserve">0.238</t>
  </si>
  <si>
    <t xml:space="preserve">0.528</t>
  </si>
  <si>
    <t xml:space="preserve">0.212</t>
  </si>
  <si>
    <t xml:space="preserve">0.948</t>
  </si>
  <si>
    <t xml:space="preserve">0.223</t>
  </si>
  <si>
    <t xml:space="preserve">0.201</t>
  </si>
  <si>
    <t xml:space="preserve">0.987</t>
  </si>
  <si>
    <t xml:space="preserve">0.043</t>
  </si>
  <si>
    <t xml:space="preserve">0.040</t>
  </si>
  <si>
    <t xml:space="preserve">0.954</t>
  </si>
  <si>
    <t xml:space="preserve">0.864</t>
  </si>
  <si>
    <t xml:space="preserve">0.146</t>
  </si>
  <si>
    <t xml:space="preserve">0.164</t>
  </si>
  <si>
    <t xml:space="preserve">0.261</t>
  </si>
  <si>
    <t xml:space="preserve">74.6</t>
  </si>
  <si>
    <t xml:space="preserve">92.6</t>
  </si>
  <si>
    <t xml:space="preserve">-5.45</t>
  </si>
  <si>
    <t xml:space="preserve">2.90</t>
  </si>
  <si>
    <t xml:space="preserve">1.88</t>
  </si>
  <si>
    <t xml:space="preserve">76.2</t>
  </si>
  <si>
    <t xml:space="preserve">89.3</t>
  </si>
  <si>
    <t xml:space="preserve">69.5</t>
  </si>
  <si>
    <t xml:space="preserve">20.9</t>
  </si>
  <si>
    <t xml:space="preserve">42.0</t>
  </si>
  <si>
    <t xml:space="preserve">18.8</t>
  </si>
  <si>
    <t xml:space="preserve">45.9</t>
  </si>
  <si>
    <t xml:space="preserve">35.0</t>
  </si>
  <si>
    <t xml:space="preserve">47.0</t>
  </si>
  <si>
    <t xml:space="preserve">69.1</t>
  </si>
  <si>
    <t xml:space="preserve">48.0</t>
  </si>
  <si>
    <t xml:space="preserve">74.4</t>
  </si>
  <si>
    <t xml:space="preserve">99.8</t>
  </si>
  <si>
    <t xml:space="preserve">33.1</t>
  </si>
  <si>
    <t xml:space="preserve">39.5</t>
  </si>
  <si>
    <t xml:space="preserve">13.7</t>
  </si>
  <si>
    <t xml:space="preserve">58.7</t>
  </si>
  <si>
    <t xml:space="preserve">57.3</t>
  </si>
  <si>
    <t xml:space="preserve">42.8</t>
  </si>
  <si>
    <t xml:space="preserve">3.30</t>
  </si>
  <si>
    <t xml:space="preserve">81.4</t>
  </si>
  <si>
    <t xml:space="preserve">60.3</t>
  </si>
  <si>
    <t xml:space="preserve">69.9</t>
  </si>
  <si>
    <t xml:space="preserve">45.1</t>
  </si>
  <si>
    <t xml:space="preserve">30.3</t>
  </si>
  <si>
    <t xml:space="preserve">94.3</t>
  </si>
  <si>
    <t xml:space="preserve">65.4</t>
  </si>
  <si>
    <t xml:space="preserve">79.9</t>
  </si>
  <si>
    <t xml:space="preserve">49.6</t>
  </si>
  <si>
    <t xml:space="preserve">73.7</t>
  </si>
  <si>
    <t xml:space="preserve">57.0</t>
  </si>
  <si>
    <t xml:space="preserve">53.0</t>
  </si>
  <si>
    <t xml:space="preserve">0.838</t>
  </si>
  <si>
    <t xml:space="preserve">0.920</t>
  </si>
  <si>
    <t xml:space="preserve">0.930</t>
  </si>
  <si>
    <t xml:space="preserve">0.228</t>
  </si>
  <si>
    <t xml:space="preserve">0.233</t>
  </si>
  <si>
    <t xml:space="preserve">0.021</t>
  </si>
  <si>
    <t xml:space="preserve">0.837</t>
  </si>
  <si>
    <t xml:space="preserve">0.045</t>
  </si>
  <si>
    <t xml:space="preserve">0.030</t>
  </si>
  <si>
    <t xml:space="preserve">0.227</t>
  </si>
  <si>
    <t xml:space="preserve">0.087</t>
  </si>
  <si>
    <t xml:space="preserve">0.038</t>
  </si>
  <si>
    <t xml:space="preserve">0.447</t>
  </si>
  <si>
    <t xml:space="preserve">11.3</t>
  </si>
  <si>
    <t xml:space="preserve">2.46</t>
  </si>
  <si>
    <t xml:space="preserve">0.940</t>
  </si>
  <si>
    <t xml:space="preserve">5.34</t>
  </si>
  <si>
    <t xml:space="preserve">29.6</t>
  </si>
  <si>
    <t xml:space="preserve">54.6</t>
  </si>
  <si>
    <t xml:space="preserve">93.6</t>
  </si>
  <si>
    <t xml:space="preserve">24.0</t>
  </si>
  <si>
    <t xml:space="preserve">38.5</t>
  </si>
  <si>
    <t xml:space="preserve">61.5</t>
  </si>
  <si>
    <t xml:space="preserve">96.2</t>
  </si>
  <si>
    <t xml:space="preserve">68.4</t>
  </si>
  <si>
    <t xml:space="preserve">33.0</t>
  </si>
  <si>
    <t xml:space="preserve">68.1</t>
  </si>
  <si>
    <t xml:space="preserve">24.3</t>
  </si>
  <si>
    <t xml:space="preserve">81.2</t>
  </si>
  <si>
    <t xml:space="preserve">59.4</t>
  </si>
  <si>
    <t xml:space="preserve">83.5</t>
  </si>
  <si>
    <t xml:space="preserve">37.2</t>
  </si>
  <si>
    <t xml:space="preserve">49.0</t>
  </si>
  <si>
    <t xml:space="preserve">34.5</t>
  </si>
  <si>
    <t xml:space="preserve">79.2</t>
  </si>
  <si>
    <t xml:space="preserve">64.2</t>
  </si>
  <si>
    <t xml:space="preserve">34.6</t>
  </si>
  <si>
    <t xml:space="preserve">41.2</t>
  </si>
  <si>
    <t xml:space="preserve">46.8</t>
  </si>
  <si>
    <t xml:space="preserve">60.8</t>
  </si>
  <si>
    <t xml:space="preserve">76.7</t>
  </si>
  <si>
    <t xml:space="preserve">0.553</t>
  </si>
  <si>
    <t xml:space="preserve">0.829</t>
  </si>
  <si>
    <t xml:space="preserve">0.138</t>
  </si>
  <si>
    <t xml:space="preserve">0.575</t>
  </si>
  <si>
    <t xml:space="preserve">0.194</t>
  </si>
  <si>
    <t xml:space="preserve">0.330</t>
  </si>
  <si>
    <t xml:space="preserve">0.044</t>
  </si>
  <si>
    <t xml:space="preserve">0.841</t>
  </si>
  <si>
    <t xml:space="preserve">0.677</t>
  </si>
  <si>
    <t xml:space="preserve">0.392</t>
  </si>
  <si>
    <t xml:space="preserve">0.995</t>
  </si>
  <si>
    <t xml:space="preserve">0.028</t>
  </si>
  <si>
    <t xml:space="preserve">0.017</t>
  </si>
  <si>
    <t xml:space="preserve">0.027</t>
  </si>
  <si>
    <t xml:space="preserve">0.911</t>
  </si>
  <si>
    <t xml:space="preserve">0.530</t>
  </si>
  <si>
    <t xml:space="preserve">0.069</t>
  </si>
  <si>
    <t xml:space="preserve">0.125</t>
  </si>
  <si>
    <t xml:space="preserve">83.0</t>
  </si>
  <si>
    <t xml:space="preserve">2.47</t>
  </si>
  <si>
    <t xml:space="preserve">4.88</t>
  </si>
  <si>
    <t xml:space="preserve">79.1</t>
  </si>
  <si>
    <t xml:space="preserve">40.4</t>
  </si>
  <si>
    <t xml:space="preserve">30.2</t>
  </si>
  <si>
    <t xml:space="preserve">55.8</t>
  </si>
  <si>
    <t xml:space="preserve">55.1</t>
  </si>
  <si>
    <t xml:space="preserve">75.5</t>
  </si>
  <si>
    <t xml:space="preserve">76.4</t>
  </si>
  <si>
    <t xml:space="preserve">48.5</t>
  </si>
  <si>
    <t xml:space="preserve">82.6</t>
  </si>
  <si>
    <t xml:space="preserve">89.4</t>
  </si>
  <si>
    <t xml:space="preserve">44.3</t>
  </si>
  <si>
    <t xml:space="preserve">44.0</t>
  </si>
  <si>
    <t xml:space="preserve">55.5</t>
  </si>
  <si>
    <t xml:space="preserve">10.4</t>
  </si>
  <si>
    <t xml:space="preserve">55.3</t>
  </si>
  <si>
    <t xml:space="preserve">9.34</t>
  </si>
  <si>
    <t xml:space="preserve">78.9</t>
  </si>
  <si>
    <t xml:space="preserve">53.3</t>
  </si>
  <si>
    <t xml:space="preserve">91.8</t>
  </si>
  <si>
    <t xml:space="preserve">81.8</t>
  </si>
  <si>
    <t xml:space="preserve">69.3</t>
  </si>
  <si>
    <t xml:space="preserve">71.2</t>
  </si>
  <si>
    <t xml:space="preserve">73.6</t>
  </si>
  <si>
    <t xml:space="preserve">0.672</t>
  </si>
  <si>
    <t xml:space="preserve">0.288</t>
  </si>
  <si>
    <t xml:space="preserve">0.106</t>
  </si>
  <si>
    <t xml:space="preserve">0.083</t>
  </si>
  <si>
    <t xml:space="preserve">0.102</t>
  </si>
  <si>
    <t xml:space="preserve">0.721</t>
  </si>
  <si>
    <t xml:space="preserve">0.990</t>
  </si>
  <si>
    <t xml:space="preserve">0.353</t>
  </si>
  <si>
    <t xml:space="preserve">0.022</t>
  </si>
  <si>
    <t xml:space="preserve">0.564</t>
  </si>
  <si>
    <t xml:space="preserve">0.166</t>
  </si>
  <si>
    <t xml:space="preserve">0.211</t>
  </si>
  <si>
    <t xml:space="preserve">0.133</t>
  </si>
  <si>
    <t xml:space="preserve">0.057</t>
  </si>
  <si>
    <t xml:space="preserve">70.6</t>
  </si>
  <si>
    <t xml:space="preserve">121.4</t>
  </si>
  <si>
    <t xml:space="preserve">-12.2</t>
  </si>
  <si>
    <t xml:space="preserve">3.80</t>
  </si>
  <si>
    <t xml:space="preserve">2.65</t>
  </si>
  <si>
    <t xml:space="preserve">7.84</t>
  </si>
  <si>
    <t xml:space="preserve">89.1</t>
  </si>
  <si>
    <t xml:space="preserve">49.8</t>
  </si>
  <si>
    <t xml:space="preserve">92.3</t>
  </si>
  <si>
    <t xml:space="preserve">9.69</t>
  </si>
  <si>
    <t xml:space="preserve">87.1</t>
  </si>
  <si>
    <t xml:space="preserve">32.4</t>
  </si>
  <si>
    <t xml:space="preserve">30.7</t>
  </si>
  <si>
    <t xml:space="preserve">71.8</t>
  </si>
  <si>
    <t xml:space="preserve">84.2</t>
  </si>
  <si>
    <t xml:space="preserve">95.5</t>
  </si>
  <si>
    <t xml:space="preserve">97.1</t>
  </si>
  <si>
    <t xml:space="preserve">41.8</t>
  </si>
  <si>
    <t xml:space="preserve">71.9</t>
  </si>
  <si>
    <t xml:space="preserve">9.11</t>
  </si>
  <si>
    <t xml:space="preserve">45.5</t>
  </si>
  <si>
    <t xml:space="preserve">78.3</t>
  </si>
  <si>
    <t xml:space="preserve">56.2</t>
  </si>
  <si>
    <t xml:space="preserve">72.2</t>
  </si>
  <si>
    <t xml:space="preserve">30.9</t>
  </si>
  <si>
    <t xml:space="preserve">79.3</t>
  </si>
  <si>
    <t xml:space="preserve">1.32</t>
  </si>
  <si>
    <t xml:space="preserve">92.4</t>
  </si>
  <si>
    <t xml:space="preserve">14.9</t>
  </si>
  <si>
    <t xml:space="preserve">77.2</t>
  </si>
  <si>
    <t xml:space="preserve">72.9</t>
  </si>
  <si>
    <t xml:space="preserve">73.1</t>
  </si>
  <si>
    <t xml:space="preserve">27.7</t>
  </si>
  <si>
    <t xml:space="preserve">0.504</t>
  </si>
  <si>
    <t xml:space="preserve">0.552</t>
  </si>
  <si>
    <t xml:space="preserve">0.035</t>
  </si>
  <si>
    <t xml:space="preserve">0.103</t>
  </si>
  <si>
    <t xml:space="preserve">0.701</t>
  </si>
  <si>
    <t xml:space="preserve">0.118</t>
  </si>
  <si>
    <t xml:space="preserve">0.302</t>
  </si>
  <si>
    <t xml:space="preserve">0.983</t>
  </si>
  <si>
    <t xml:space="preserve">0.024</t>
  </si>
  <si>
    <t xml:space="preserve">0.832</t>
  </si>
  <si>
    <t xml:space="preserve">0.197</t>
  </si>
  <si>
    <t xml:space="preserve">12.9</t>
  </si>
  <si>
    <t xml:space="preserve">-8.39</t>
  </si>
  <si>
    <t xml:space="preserve">5.01</t>
  </si>
  <si>
    <t xml:space="preserve">2.59</t>
  </si>
  <si>
    <t xml:space="preserve">0.728</t>
  </si>
  <si>
    <t xml:space="preserve">33.8</t>
  </si>
  <si>
    <t xml:space="preserve">70.1</t>
  </si>
  <si>
    <t xml:space="preserve">62.9</t>
  </si>
  <si>
    <t xml:space="preserve">6.17</t>
  </si>
  <si>
    <t xml:space="preserve">12.7</t>
  </si>
  <si>
    <t xml:space="preserve">95.9</t>
  </si>
  <si>
    <t xml:space="preserve">42.6</t>
  </si>
  <si>
    <t xml:space="preserve">32.0</t>
  </si>
  <si>
    <t xml:space="preserve">37.5</t>
  </si>
  <si>
    <t xml:space="preserve">30.6</t>
  </si>
  <si>
    <t xml:space="preserve">15.8</t>
  </si>
  <si>
    <t xml:space="preserve">41.9</t>
  </si>
  <si>
    <t xml:space="preserve">57.8</t>
  </si>
  <si>
    <t xml:space="preserve">49.7</t>
  </si>
  <si>
    <t xml:space="preserve">40.9</t>
  </si>
  <si>
    <t xml:space="preserve">38.3</t>
  </si>
  <si>
    <t xml:space="preserve">50.4</t>
  </si>
  <si>
    <t xml:space="preserve">67.3</t>
  </si>
  <si>
    <t xml:space="preserve">34.0</t>
  </si>
  <si>
    <t xml:space="preserve">25.6</t>
  </si>
  <si>
    <t xml:space="preserve">8.34</t>
  </si>
  <si>
    <t xml:space="preserve">62.5</t>
  </si>
  <si>
    <t xml:space="preserve">72.0</t>
  </si>
  <si>
    <t xml:space="preserve">25.4</t>
  </si>
  <si>
    <t xml:space="preserve">42.7</t>
  </si>
  <si>
    <t xml:space="preserve">0.667</t>
  </si>
  <si>
    <t xml:space="preserve">0.683</t>
  </si>
  <si>
    <t xml:space="preserve">0.308</t>
  </si>
  <si>
    <t xml:space="preserve">0.607</t>
  </si>
  <si>
    <t xml:space="preserve">0.272</t>
  </si>
  <si>
    <t xml:space="preserve">0.478</t>
  </si>
  <si>
    <t xml:space="preserve">0.188</t>
  </si>
  <si>
    <t xml:space="preserve">0.049</t>
  </si>
  <si>
    <t xml:space="preserve">0.126</t>
  </si>
  <si>
    <t xml:space="preserve">0.980</t>
  </si>
  <si>
    <t xml:space="preserve">0.509</t>
  </si>
  <si>
    <t xml:space="preserve">100.2</t>
  </si>
  <si>
    <t xml:space="preserve">75.2</t>
  </si>
  <si>
    <t xml:space="preserve">-7.02</t>
  </si>
  <si>
    <t xml:space="preserve">1.95</t>
  </si>
  <si>
    <t xml:space="preserve">-8.04</t>
  </si>
  <si>
    <t xml:space="preserve">47.8</t>
  </si>
  <si>
    <t xml:space="preserve">11.0</t>
  </si>
  <si>
    <t xml:space="preserve">79.7</t>
  </si>
  <si>
    <t xml:space="preserve">88.5</t>
  </si>
  <si>
    <t xml:space="preserve">39.4</t>
  </si>
  <si>
    <t xml:space="preserve">45.6</t>
  </si>
  <si>
    <t xml:space="preserve">43.0</t>
  </si>
  <si>
    <t xml:space="preserve">45.3</t>
  </si>
  <si>
    <t xml:space="preserve">65.0</t>
  </si>
  <si>
    <t xml:space="preserve">38.2</t>
  </si>
  <si>
    <t xml:space="preserve">16.9</t>
  </si>
  <si>
    <t xml:space="preserve">65.1</t>
  </si>
  <si>
    <t xml:space="preserve">35.6</t>
  </si>
  <si>
    <t xml:space="preserve">58.9</t>
  </si>
  <si>
    <t xml:space="preserve">28.9</t>
  </si>
  <si>
    <t xml:space="preserve">90.3</t>
  </si>
  <si>
    <t xml:space="preserve">6.51</t>
  </si>
  <si>
    <t xml:space="preserve">74.8</t>
  </si>
  <si>
    <t xml:space="preserve">73.5</t>
  </si>
  <si>
    <t xml:space="preserve">2.83</t>
  </si>
  <si>
    <t xml:space="preserve">0.825</t>
  </si>
  <si>
    <t xml:space="preserve">0.963</t>
  </si>
  <si>
    <t xml:space="preserve">0.984</t>
  </si>
  <si>
    <t xml:space="preserve">0.774</t>
  </si>
  <si>
    <t xml:space="preserve">0.244</t>
  </si>
  <si>
    <t xml:space="preserve">0.216</t>
  </si>
  <si>
    <t xml:space="preserve">0.205</t>
  </si>
  <si>
    <t xml:space="preserve">0.080</t>
  </si>
  <si>
    <t xml:space="preserve">0.444</t>
  </si>
  <si>
    <t xml:space="preserve">0.134</t>
  </si>
  <si>
    <t xml:space="preserve">0.502</t>
  </si>
  <si>
    <t xml:space="preserve">0.935</t>
  </si>
  <si>
    <t xml:space="preserve">0.430</t>
  </si>
  <si>
    <t xml:space="preserve">0.336</t>
  </si>
  <si>
    <t xml:space="preserve">0.056</t>
  </si>
  <si>
    <t xml:space="preserve">0.395</t>
  </si>
  <si>
    <t xml:space="preserve">0.350</t>
  </si>
  <si>
    <t xml:space="preserve">13.6</t>
  </si>
  <si>
    <t xml:space="preserve">6.33</t>
  </si>
  <si>
    <t xml:space="preserve">-8.02</t>
  </si>
  <si>
    <t xml:space="preserve">3.29</t>
  </si>
  <si>
    <t xml:space="preserve">3.33</t>
  </si>
  <si>
    <t xml:space="preserve">5.73</t>
  </si>
  <si>
    <t xml:space="preserve">23.2</t>
  </si>
  <si>
    <t xml:space="preserve">29.4</t>
  </si>
  <si>
    <t xml:space="preserve">78.8</t>
  </si>
  <si>
    <t xml:space="preserve">83.6</t>
  </si>
  <si>
    <t xml:space="preserve">93.5</t>
  </si>
  <si>
    <t xml:space="preserve">98.8</t>
  </si>
  <si>
    <t xml:space="preserve">77.0</t>
  </si>
  <si>
    <t xml:space="preserve">66.4</t>
  </si>
  <si>
    <t xml:space="preserve">14.7</t>
  </si>
  <si>
    <t xml:space="preserve">97.6</t>
  </si>
  <si>
    <t xml:space="preserve">68.8</t>
  </si>
  <si>
    <t xml:space="preserve">99.6</t>
  </si>
  <si>
    <t xml:space="preserve">76.6</t>
  </si>
  <si>
    <t xml:space="preserve">67.7</t>
  </si>
  <si>
    <t xml:space="preserve">94.8</t>
  </si>
  <si>
    <t xml:space="preserve">75.4</t>
  </si>
  <si>
    <t xml:space="preserve">50.5</t>
  </si>
  <si>
    <t xml:space="preserve">81.5</t>
  </si>
  <si>
    <t xml:space="preserve">71.6</t>
  </si>
  <si>
    <t xml:space="preserve">41.6</t>
  </si>
  <si>
    <t xml:space="preserve">33.2</t>
  </si>
  <si>
    <t xml:space="preserve">36.1</t>
  </si>
  <si>
    <t xml:space="preserve">19.2</t>
  </si>
  <si>
    <t xml:space="preserve">66.1</t>
  </si>
  <si>
    <t xml:space="preserve">87.2</t>
  </si>
  <si>
    <t xml:space="preserve">0.862</t>
  </si>
  <si>
    <t xml:space="preserve">0.076</t>
  </si>
  <si>
    <t xml:space="preserve">0.551</t>
  </si>
  <si>
    <t xml:space="preserve">0.327</t>
  </si>
  <si>
    <t xml:space="preserve">0.597</t>
  </si>
  <si>
    <t xml:space="preserve">0.079</t>
  </si>
  <si>
    <t xml:space="preserve">0.640</t>
  </si>
  <si>
    <t xml:space="preserve">0.383</t>
  </si>
  <si>
    <t xml:space="preserve">0.967</t>
  </si>
  <si>
    <t xml:space="preserve">0.346</t>
  </si>
  <si>
    <t xml:space="preserve">0.143</t>
  </si>
  <si>
    <t xml:space="preserve">0.147</t>
  </si>
  <si>
    <t xml:space="preserve">21.4</t>
  </si>
  <si>
    <t xml:space="preserve">-11.5</t>
  </si>
  <si>
    <t xml:space="preserve">2.96</t>
  </si>
  <si>
    <t xml:space="preserve">1.45</t>
  </si>
  <si>
    <t xml:space="preserve">-1.44</t>
  </si>
  <si>
    <t xml:space="preserve">60.1</t>
  </si>
  <si>
    <t xml:space="preserve">42.9</t>
  </si>
  <si>
    <t xml:space="preserve">96.6</t>
  </si>
  <si>
    <t xml:space="preserve">54.7</t>
  </si>
  <si>
    <t xml:space="preserve">85.9</t>
  </si>
  <si>
    <t xml:space="preserve">65.6</t>
  </si>
  <si>
    <t xml:space="preserve">75.8</t>
  </si>
  <si>
    <t xml:space="preserve">64.3</t>
  </si>
  <si>
    <t xml:space="preserve">56.8</t>
  </si>
  <si>
    <t xml:space="preserve">70.3</t>
  </si>
  <si>
    <t xml:space="preserve">40.6</t>
  </si>
  <si>
    <t xml:space="preserve">70.2</t>
  </si>
  <si>
    <t xml:space="preserve">86.4</t>
  </si>
  <si>
    <t xml:space="preserve">68.5</t>
  </si>
  <si>
    <t xml:space="preserve">52.6</t>
  </si>
  <si>
    <t xml:space="preserve">62.3</t>
  </si>
  <si>
    <t xml:space="preserve">49.1</t>
  </si>
  <si>
    <t xml:space="preserve">53.7</t>
  </si>
  <si>
    <t xml:space="preserve">47.1</t>
  </si>
  <si>
    <t xml:space="preserve">76.8</t>
  </si>
  <si>
    <t xml:space="preserve">29.3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</si>
</sst>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n">
        <v>14</v>
      </c>
      <c r="D4" s="4" t="n">
        <f aca="false">IF(C4&gt;0,6/C4,0)</f>
        <v>0.428571428571429</v>
      </c>
      <c r="E4" s="4" t="n">
        <f aca="false">IF(C4&gt;0,8/C4,0)</f>
        <v>0.571428571428571</v>
      </c>
      <c r="F4" s="4" t="n">
        <f aca="false">E4-D4</f>
        <v>0.142857142857143</v>
      </c>
    </row>
    <row r="5" customFormat="false" ht="15" hidden="false" customHeight="false" outlineLevel="0" collapsed="false">
      <c r="A5" s="3" t="s">
        <v>9</v>
      </c>
      <c r="B5" s="3" t="s">
        <v>8</v>
      </c>
      <c r="C5" s="3" t="n">
        <v>14</v>
      </c>
      <c r="D5" s="4" t="n">
        <f aca="false">IF(C5&gt;0,9/C5,0)</f>
        <v>0.642857142857143</v>
      </c>
      <c r="E5" s="4" t="n">
        <f aca="false">IF(C5&gt;0,10/C5,0)</f>
        <v>0.714285714285714</v>
      </c>
      <c r="F5" s="4" t="n">
        <f aca="false">E5-D5</f>
        <v>0.0714285714285714</v>
      </c>
    </row>
    <row r="6" customFormat="false" ht="15" hidden="false" customHeight="false" outlineLevel="0" collapsed="false">
      <c r="A6" s="3" t="s">
        <v>10</v>
      </c>
      <c r="B6" s="3" t="s">
        <v>8</v>
      </c>
      <c r="C6" s="3" t="n">
        <v>14</v>
      </c>
      <c r="D6" s="4" t="n">
        <f aca="false">IF(C6&gt;0,9/C6,0)</f>
        <v>0.642857142857143</v>
      </c>
      <c r="E6" s="4" t="n">
        <f aca="false">IF(C6&gt;0,11/C6,0)</f>
        <v>0.785714285714286</v>
      </c>
      <c r="F6" s="4" t="n">
        <f aca="false">E6-D6</f>
        <v>0.142857142857143</v>
      </c>
    </row>
    <row r="7" customFormat="false" ht="15" hidden="false" customHeight="false" outlineLevel="0" collapsed="false">
      <c r="A7" s="3" t="s">
        <v>11</v>
      </c>
      <c r="B7" s="3" t="s">
        <v>8</v>
      </c>
      <c r="C7" s="3" t="n">
        <v>14</v>
      </c>
      <c r="D7" s="4" t="n">
        <f aca="false">IF(C7&gt;0,8/C7,0)</f>
        <v>0.571428571428571</v>
      </c>
      <c r="E7" s="4" t="n">
        <f aca="false">IF(C7&gt;0,9/C7,0)</f>
        <v>0.642857142857143</v>
      </c>
      <c r="F7" s="4" t="n">
        <f aca="false">E7-D7</f>
        <v>0.0714285714285715</v>
      </c>
    </row>
    <row r="8" customFormat="false" ht="15" hidden="false" customHeight="false" outlineLevel="0" collapsed="false">
      <c r="A8" s="3" t="s">
        <v>12</v>
      </c>
      <c r="B8" s="3" t="s">
        <v>8</v>
      </c>
      <c r="C8" s="3" t="n">
        <v>14</v>
      </c>
      <c r="D8" s="4" t="n">
        <f aca="false">IF(C8&gt;0,6/C8,0)</f>
        <v>0.428571428571429</v>
      </c>
      <c r="E8" s="4" t="n">
        <f aca="false">IF(C8&gt;0,9/C8,0)</f>
        <v>0.642857142857143</v>
      </c>
      <c r="F8" s="4" t="n">
        <f aca="false">E8-D8</f>
        <v>0.214285714285714</v>
      </c>
    </row>
    <row r="9" customFormat="false" ht="15" hidden="false" customHeight="false" outlineLevel="0" collapsed="false">
      <c r="A9" s="3" t="s">
        <v>13</v>
      </c>
      <c r="B9" s="3" t="s">
        <v>8</v>
      </c>
      <c r="C9" s="3" t="n">
        <v>14</v>
      </c>
      <c r="D9" s="4" t="n">
        <f aca="false">IF(C9&gt;0,8/C9,0)</f>
        <v>0.571428571428571</v>
      </c>
      <c r="E9" s="4" t="n">
        <f aca="false">IF(C9&gt;0,10/C9,0)</f>
        <v>0.714285714285714</v>
      </c>
      <c r="F9" s="4" t="n">
        <f aca="false">E9-D9</f>
        <v>0.142857142857143</v>
      </c>
    </row>
    <row r="10" customFormat="false" ht="15" hidden="false" customHeight="false" outlineLevel="0" collapsed="false">
      <c r="A10" s="3" t="s">
        <v>14</v>
      </c>
      <c r="B10" s="3" t="s">
        <v>8</v>
      </c>
      <c r="C10" s="3" t="n">
        <v>14</v>
      </c>
      <c r="D10" s="4" t="n">
        <f aca="false">IF(C10&gt;0,5/C10,0)</f>
        <v>0.357142857142857</v>
      </c>
      <c r="E10" s="4" t="n">
        <f aca="false">IF(C10&gt;0,9/C10,0)</f>
        <v>0.642857142857143</v>
      </c>
      <c r="F10" s="4" t="n">
        <f aca="false">E10-D10</f>
        <v>0.285714285714286</v>
      </c>
    </row>
    <row r="11" customFormat="false" ht="15" hidden="false" customHeight="false" outlineLevel="0" collapsed="false">
      <c r="A11" s="3" t="s">
        <v>15</v>
      </c>
      <c r="B11" s="3" t="s">
        <v>8</v>
      </c>
      <c r="C11" s="3" t="n">
        <v>14</v>
      </c>
      <c r="D11" s="4" t="n">
        <f aca="false">IF(C11&gt;0,7/C11,0)</f>
        <v>0.5</v>
      </c>
      <c r="E11" s="4" t="n">
        <f aca="false">IF(C11&gt;0,11/C11,0)</f>
        <v>0.785714285714286</v>
      </c>
      <c r="F11" s="4" t="n">
        <f aca="false">E11-D11</f>
        <v>0.285714285714286</v>
      </c>
    </row>
    <row r="12" customFormat="false" ht="15" hidden="false" customHeight="false" outlineLevel="0" collapsed="false">
      <c r="A12" s="3" t="s">
        <v>16</v>
      </c>
      <c r="B12" s="3" t="s">
        <v>8</v>
      </c>
      <c r="C12" s="3" t="n">
        <v>14</v>
      </c>
      <c r="D12" s="4" t="n">
        <f aca="false">IF(C12&gt;0,9/C12,0)</f>
        <v>0.642857142857143</v>
      </c>
      <c r="E12" s="4" t="n">
        <f aca="false">IF(C12&gt;0,9/C12,0)</f>
        <v>0.642857142857143</v>
      </c>
      <c r="F12" s="4" t="n">
        <f aca="false">E12-D12</f>
        <v>0</v>
      </c>
    </row>
    <row r="13" customFormat="false" ht="15" hidden="false" customHeight="false" outlineLevel="0" collapsed="false">
      <c r="A13" s="3" t="s">
        <v>17</v>
      </c>
      <c r="B13" s="3" t="s">
        <v>8</v>
      </c>
      <c r="C13" s="3" t="n">
        <v>14</v>
      </c>
      <c r="D13" s="4" t="n">
        <f aca="false">IF(C13&gt;0,9/C13,0)</f>
        <v>0.642857142857143</v>
      </c>
      <c r="E13" s="4" t="n">
        <f aca="false">IF(C13&gt;0,7/C13,0)</f>
        <v>0.5</v>
      </c>
      <c r="F13" s="4" t="n">
        <f aca="false">E13-D13</f>
        <v>-0.142857142857143</v>
      </c>
    </row>
    <row r="14" customFormat="false" ht="15" hidden="false" customHeight="false" outlineLevel="0" collapsed="false">
      <c r="A14" s="3" t="s">
        <v>18</v>
      </c>
      <c r="B14" s="3" t="s">
        <v>19</v>
      </c>
      <c r="C14" s="3" t="n">
        <v>14</v>
      </c>
      <c r="D14" s="4" t="n">
        <f aca="false">IF(C14&gt;0,10/C14,0)</f>
        <v>0.714285714285714</v>
      </c>
      <c r="E14" s="4" t="n">
        <f aca="false">IF(C14&gt;0,7/C14,0)</f>
        <v>0.5</v>
      </c>
      <c r="F14" s="4" t="n">
        <f aca="false">E14-D14</f>
        <v>-0.214285714285714</v>
      </c>
    </row>
    <row r="15" customFormat="false" ht="15" hidden="false" customHeight="false" outlineLevel="0" collapsed="false">
      <c r="A15" s="3" t="s">
        <v>20</v>
      </c>
      <c r="B15" s="3" t="s">
        <v>19</v>
      </c>
      <c r="C15" s="3" t="n">
        <v>14</v>
      </c>
      <c r="D15" s="4" t="n">
        <f aca="false">IF(C15&gt;0,9/C15,0)</f>
        <v>0.642857142857143</v>
      </c>
      <c r="E15" s="4" t="n">
        <f aca="false">IF(C15&gt;0,8/C15,0)</f>
        <v>0.571428571428571</v>
      </c>
      <c r="F15" s="4" t="n">
        <f aca="false">E15-D15</f>
        <v>-0.0714285714285715</v>
      </c>
    </row>
    <row r="16" customFormat="false" ht="15" hidden="false" customHeight="false" outlineLevel="0" collapsed="false">
      <c r="A16" s="3" t="s">
        <v>21</v>
      </c>
      <c r="B16" s="3" t="s">
        <v>19</v>
      </c>
      <c r="C16" s="3" t="n">
        <v>14</v>
      </c>
      <c r="D16" s="4" t="n">
        <f aca="false">IF(C16&gt;0,11/C16,0)</f>
        <v>0.785714285714286</v>
      </c>
      <c r="E16" s="4" t="n">
        <f aca="false">IF(C16&gt;0,12/C16,0)</f>
        <v>0.857142857142857</v>
      </c>
      <c r="F16" s="4" t="n">
        <f aca="false">E16-D16</f>
        <v>0.0714285714285714</v>
      </c>
    </row>
    <row r="17" customFormat="false" ht="15" hidden="false" customHeight="false" outlineLevel="0" collapsed="false">
      <c r="A17" s="3" t="s">
        <v>22</v>
      </c>
      <c r="B17" s="3" t="s">
        <v>19</v>
      </c>
      <c r="C17" s="3" t="n">
        <v>14</v>
      </c>
      <c r="D17" s="4" t="n">
        <f aca="false">IF(C17&gt;0,9/C17,0)</f>
        <v>0.642857142857143</v>
      </c>
      <c r="E17" s="4" t="n">
        <f aca="false">IF(C17&gt;0,10/C17,0)</f>
        <v>0.714285714285714</v>
      </c>
      <c r="F17" s="4" t="n">
        <f aca="false">E17-D17</f>
        <v>0.0714285714285714</v>
      </c>
    </row>
    <row r="18" customFormat="false" ht="15" hidden="false" customHeight="false" outlineLevel="0" collapsed="false">
      <c r="A18" s="3" t="s">
        <v>23</v>
      </c>
      <c r="B18" s="3" t="s">
        <v>19</v>
      </c>
      <c r="C18" s="3" t="n">
        <v>14</v>
      </c>
      <c r="D18" s="4" t="n">
        <f aca="false">IF(C18&gt;0,8/C18,0)</f>
        <v>0.571428571428571</v>
      </c>
      <c r="E18" s="4" t="n">
        <f aca="false">IF(C18&gt;0,7/C18,0)</f>
        <v>0.5</v>
      </c>
      <c r="F18" s="4" t="n">
        <f aca="false">E18-D18</f>
        <v>-0.0714285714285714</v>
      </c>
    </row>
    <row r="19" customFormat="false" ht="15" hidden="false" customHeight="false" outlineLevel="0" collapsed="false">
      <c r="A19" s="5" t="s">
        <v>24</v>
      </c>
      <c r="B19" s="5"/>
      <c r="C19" s="5" t="n">
        <f aca="false">SUM(C4:C18)</f>
        <v>210</v>
      </c>
      <c r="D19" s="6" t="n">
        <f aca="false">SUMPRODUCT(D4:D18,C4:C18)/C19</f>
        <v>0.585714285714286</v>
      </c>
      <c r="E19" s="6" t="n">
        <f aca="false">SUMPRODUCT(E4:E18,C4:C18)/C19</f>
        <v>0.652380952380952</v>
      </c>
      <c r="F19" s="6" t="n">
        <f aca="false">E19-D19</f>
        <v>0.0666666666666667</v>
      </c>
    </row>
    <row r="22" customFormat="false" ht="15" hidden="false" customHeight="false" outlineLevel="0" collapsed="false">
      <c r="A22" s="7" t="s">
        <v>25</v>
      </c>
    </row>
    <row r="23" customFormat="false" ht="31.5" hidden="false" customHeight="true" outlineLevel="0" collapsed="false">
      <c r="A23" s="8" t="s">
        <v>26</v>
      </c>
      <c r="B23" s="8"/>
      <c r="C23" s="8"/>
      <c r="D23" s="8"/>
      <c r="E23" s="8"/>
      <c r="F23" s="8"/>
    </row>
    <row r="24" customFormat="false" ht="31.5" hidden="false" customHeight="true" outlineLevel="0" collapsed="false">
      <c r="A24" s="8" t="s">
        <v>27</v>
      </c>
      <c r="B24" s="8"/>
      <c r="C24" s="8"/>
      <c r="D24" s="8"/>
      <c r="E24" s="8"/>
      <c r="F24" s="8"/>
    </row>
    <row r="25" customFormat="false" ht="31.5" hidden="false" customHeight="true" outlineLevel="0" collapsed="false">
      <c r="A25" s="8" t="s">
        <v>28</v>
      </c>
      <c r="B25" s="8"/>
      <c r="C25" s="8"/>
      <c r="D25" s="8"/>
      <c r="E25" s="8"/>
      <c r="F25" s="8"/>
    </row>
    <row r="26" customFormat="false" ht="31.5" hidden="false" customHeight="true" outlineLevel="0" collapsed="false">
      <c r="A26" s="8" t="s">
        <v>29</v>
      </c>
      <c r="B26" s="8"/>
      <c r="C26" s="8"/>
      <c r="D26" s="8"/>
      <c r="E26" s="8"/>
      <c r="F26" s="8"/>
    </row>
    <row r="27" customFormat="false" ht="31.5" hidden="false" customHeight="true" outlineLevel="0" collapsed="false">
      <c r="A27" s="8" t="s">
        <v>30</v>
      </c>
      <c r="B27" s="8"/>
      <c r="C27" s="8"/>
      <c r="D27" s="8"/>
      <c r="E27" s="8"/>
      <c r="F27" s="8"/>
    </row>
    <row r="28" customFormat="false" ht="31.5" hidden="false" customHeight="true" outlineLevel="0" collapsed="false">
      <c r="A28" s="8" t="s">
        <v>31</v>
      </c>
      <c r="B28" s="8"/>
      <c r="C28" s="8"/>
      <c r="D28" s="8"/>
      <c r="E28" s="8"/>
      <c r="F28" s="8"/>
    </row>
    <row r="29" customFormat="false" ht="31.5" hidden="false" customHeight="true" outlineLevel="0" collapsed="false">
      <c r="A29" s="8" t="s">
        <v>32</v>
      </c>
      <c r="B29" s="8"/>
      <c r="C29" s="8"/>
      <c r="D29" s="8"/>
      <c r="E29" s="8"/>
      <c r="F29" s="8"/>
    </row>
    <row r="30" customFormat="false" ht="31.5" hidden="false" customHeight="true" outlineLevel="0" collapsed="false">
      <c r="A30" s="8" t="s">
        <v>33</v>
      </c>
      <c r="B30" s="8"/>
      <c r="C30" s="8"/>
      <c r="D30" s="8"/>
      <c r="E30" s="8"/>
      <c r="F30" s="8"/>
    </row>
    <row r="31" customFormat="false" ht="31.5" hidden="false" customHeight="true" outlineLevel="0" collapsed="false">
      <c r="A31" s="8" t="s">
        <v>34</v>
      </c>
      <c r="B31" s="8"/>
      <c r="C31" s="8"/>
      <c r="D31" s="8"/>
      <c r="E31" s="8"/>
      <c r="F31" s="8"/>
    </row>
  </sheetData>
  <mergeCells count="10">
    <mergeCell ref="A1:F1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8"/>
    <col collapsed="false" customWidth="true" hidden="false" outlineLevel="0" max="11" min="7" style="0" width="9"/>
  </cols>
  <sheetData>
    <row r="1" customFormat="false" ht="17.35" hidden="false" customHeight="false" outlineLevel="0" collapsed="false">
      <c r="A1" s="9" t="s">
        <v>35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10" t="s">
        <v>36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customFormat="false" ht="31.5" hidden="false" customHeight="true" outlineLevel="0" collapsed="false">
      <c r="A4" s="2" t="s">
        <v>37</v>
      </c>
      <c r="B4" s="2" t="s">
        <v>1</v>
      </c>
      <c r="C4" s="2" t="s">
        <v>38</v>
      </c>
      <c r="D4" s="2" t="s">
        <v>2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</row>
    <row r="5" customFormat="false" ht="23.85" hidden="false" customHeight="false" outlineLevel="0" collapsed="false">
      <c r="A5" s="3" t="n">
        <v>1</v>
      </c>
      <c r="B5" s="3" t="s">
        <v>7</v>
      </c>
      <c r="C5" s="11" t="s">
        <v>46</v>
      </c>
      <c r="D5" s="3" t="s">
        <v>8</v>
      </c>
      <c r="E5" s="3" t="s">
        <v>47</v>
      </c>
      <c r="F5" s="12" t="s">
        <v>48</v>
      </c>
      <c r="G5" s="13" t="s">
        <v>49</v>
      </c>
      <c r="H5" s="14" t="n">
        <v>14</v>
      </c>
      <c r="I5" s="12" t="s">
        <v>50</v>
      </c>
      <c r="J5" s="13" t="s">
        <v>51</v>
      </c>
      <c r="K5" s="14" t="n">
        <v>14</v>
      </c>
    </row>
    <row r="6" customFormat="false" ht="15" hidden="false" customHeight="false" outlineLevel="0" collapsed="false">
      <c r="A6" s="3" t="n">
        <v>2</v>
      </c>
      <c r="B6" s="3" t="s">
        <v>9</v>
      </c>
      <c r="C6" s="11" t="s">
        <v>52</v>
      </c>
      <c r="D6" s="3" t="s">
        <v>8</v>
      </c>
      <c r="E6" s="3" t="s">
        <v>53</v>
      </c>
      <c r="F6" s="12" t="s">
        <v>54</v>
      </c>
      <c r="G6" s="13" t="s">
        <v>55</v>
      </c>
      <c r="H6" s="14" t="n">
        <v>68</v>
      </c>
      <c r="I6" s="12" t="s">
        <v>50</v>
      </c>
      <c r="J6" s="13" t="s">
        <v>56</v>
      </c>
      <c r="K6" s="14" t="n">
        <v>0.3</v>
      </c>
    </row>
    <row r="7" customFormat="false" ht="15" hidden="false" customHeight="false" outlineLevel="0" collapsed="false">
      <c r="A7" s="3" t="n">
        <v>3</v>
      </c>
      <c r="B7" s="3" t="s">
        <v>10</v>
      </c>
      <c r="C7" s="11" t="s">
        <v>57</v>
      </c>
      <c r="D7" s="3" t="s">
        <v>8</v>
      </c>
      <c r="E7" s="3" t="s">
        <v>58</v>
      </c>
      <c r="F7" s="12" t="s">
        <v>59</v>
      </c>
      <c r="G7" s="13" t="s">
        <v>60</v>
      </c>
      <c r="H7" s="14" t="n">
        <v>95</v>
      </c>
      <c r="I7" s="12" t="s">
        <v>50</v>
      </c>
      <c r="J7" s="13" t="s">
        <v>61</v>
      </c>
      <c r="K7" s="14" t="n">
        <v>2</v>
      </c>
    </row>
    <row r="8" customFormat="false" ht="15" hidden="false" customHeight="false" outlineLevel="0" collapsed="false">
      <c r="A8" s="3" t="n">
        <v>4</v>
      </c>
      <c r="B8" s="3" t="s">
        <v>11</v>
      </c>
      <c r="C8" s="11" t="s">
        <v>62</v>
      </c>
      <c r="D8" s="3" t="s">
        <v>8</v>
      </c>
      <c r="E8" s="3" t="s">
        <v>63</v>
      </c>
      <c r="F8" s="12" t="s">
        <v>64</v>
      </c>
      <c r="G8" s="13" t="s">
        <v>65</v>
      </c>
      <c r="H8" s="14" t="n">
        <v>55</v>
      </c>
      <c r="I8" s="12" t="s">
        <v>50</v>
      </c>
      <c r="J8" s="13" t="s">
        <v>66</v>
      </c>
      <c r="K8" s="14" t="n">
        <v>6.2</v>
      </c>
    </row>
    <row r="9" customFormat="false" ht="15" hidden="false" customHeight="false" outlineLevel="0" collapsed="false">
      <c r="A9" s="3" t="n">
        <v>5</v>
      </c>
      <c r="B9" s="3" t="s">
        <v>12</v>
      </c>
      <c r="C9" s="11" t="s">
        <v>67</v>
      </c>
      <c r="D9" s="3" t="s">
        <v>8</v>
      </c>
      <c r="E9" s="3" t="s">
        <v>68</v>
      </c>
      <c r="F9" s="12" t="s">
        <v>69</v>
      </c>
      <c r="G9" s="13" t="s">
        <v>70</v>
      </c>
      <c r="H9" s="14" t="n">
        <v>99</v>
      </c>
      <c r="I9" s="12" t="s">
        <v>50</v>
      </c>
      <c r="J9" s="13" t="s">
        <v>71</v>
      </c>
      <c r="K9" s="14" t="n">
        <v>40</v>
      </c>
    </row>
    <row r="10" customFormat="false" ht="15" hidden="false" customHeight="false" outlineLevel="0" collapsed="false">
      <c r="A10" s="3" t="n">
        <v>6</v>
      </c>
      <c r="B10" s="3" t="s">
        <v>13</v>
      </c>
      <c r="C10" s="11" t="s">
        <v>72</v>
      </c>
      <c r="D10" s="3" t="s">
        <v>8</v>
      </c>
      <c r="E10" s="3" t="s">
        <v>73</v>
      </c>
      <c r="F10" s="12" t="s">
        <v>74</v>
      </c>
      <c r="G10" s="13" t="s">
        <v>75</v>
      </c>
      <c r="H10" s="14" t="n">
        <v>99</v>
      </c>
      <c r="I10" s="12" t="s">
        <v>50</v>
      </c>
      <c r="J10" s="13" t="s">
        <v>76</v>
      </c>
      <c r="K10" s="14" t="n">
        <v>5</v>
      </c>
    </row>
    <row r="11" customFormat="false" ht="23.85" hidden="false" customHeight="false" outlineLevel="0" collapsed="false">
      <c r="A11" s="3" t="n">
        <v>7</v>
      </c>
      <c r="B11" s="3" t="s">
        <v>14</v>
      </c>
      <c r="C11" s="11" t="s">
        <v>77</v>
      </c>
      <c r="D11" s="3" t="s">
        <v>8</v>
      </c>
      <c r="E11" s="3" t="s">
        <v>78</v>
      </c>
      <c r="F11" s="12" t="s">
        <v>79</v>
      </c>
      <c r="G11" s="13" t="s">
        <v>80</v>
      </c>
      <c r="H11" s="14" t="n">
        <v>98</v>
      </c>
      <c r="I11" s="12" t="s">
        <v>50</v>
      </c>
      <c r="J11" s="13" t="s">
        <v>81</v>
      </c>
      <c r="K11" s="14" t="n">
        <v>18</v>
      </c>
    </row>
    <row r="12" customFormat="false" ht="15" hidden="false" customHeight="false" outlineLevel="0" collapsed="false">
      <c r="A12" s="3" t="n">
        <v>8</v>
      </c>
      <c r="B12" s="3" t="s">
        <v>15</v>
      </c>
      <c r="C12" s="11" t="s">
        <v>82</v>
      </c>
      <c r="D12" s="3" t="s">
        <v>8</v>
      </c>
      <c r="E12" s="3" t="s">
        <v>83</v>
      </c>
      <c r="F12" s="12" t="s">
        <v>84</v>
      </c>
      <c r="G12" s="13" t="s">
        <v>85</v>
      </c>
      <c r="H12" s="14" t="n">
        <v>22</v>
      </c>
      <c r="I12" s="12" t="s">
        <v>50</v>
      </c>
      <c r="J12" s="13" t="s">
        <v>86</v>
      </c>
      <c r="K12" s="14" t="n">
        <v>6</v>
      </c>
    </row>
    <row r="13" customFormat="false" ht="15" hidden="false" customHeight="false" outlineLevel="0" collapsed="false">
      <c r="A13" s="3" t="n">
        <v>9</v>
      </c>
      <c r="B13" s="3" t="s">
        <v>16</v>
      </c>
      <c r="C13" s="11" t="s">
        <v>87</v>
      </c>
      <c r="D13" s="3" t="s">
        <v>8</v>
      </c>
      <c r="E13" s="3" t="s">
        <v>88</v>
      </c>
      <c r="F13" s="12" t="s">
        <v>89</v>
      </c>
      <c r="G13" s="13" t="s">
        <v>90</v>
      </c>
      <c r="H13" s="14" t="n">
        <v>26</v>
      </c>
      <c r="I13" s="12" t="s">
        <v>50</v>
      </c>
      <c r="J13" s="13" t="s">
        <v>91</v>
      </c>
      <c r="K13" s="14" t="n">
        <v>4</v>
      </c>
    </row>
    <row r="14" customFormat="false" ht="23.85" hidden="false" customHeight="false" outlineLevel="0" collapsed="false">
      <c r="A14" s="3" t="n">
        <v>10</v>
      </c>
      <c r="B14" s="3" t="s">
        <v>17</v>
      </c>
      <c r="C14" s="11" t="s">
        <v>92</v>
      </c>
      <c r="D14" s="3" t="s">
        <v>8</v>
      </c>
      <c r="E14" s="3" t="s">
        <v>93</v>
      </c>
      <c r="F14" s="12" t="s">
        <v>94</v>
      </c>
      <c r="G14" s="13" t="s">
        <v>95</v>
      </c>
      <c r="H14" s="14" t="n">
        <v>41</v>
      </c>
      <c r="I14" s="12" t="s">
        <v>50</v>
      </c>
      <c r="J14" s="13" t="s">
        <v>96</v>
      </c>
      <c r="K14" s="14" t="n">
        <v>4</v>
      </c>
    </row>
    <row r="15" customFormat="false" ht="23.85" hidden="false" customHeight="false" outlineLevel="0" collapsed="false">
      <c r="A15" s="3" t="n">
        <v>11</v>
      </c>
      <c r="B15" s="3" t="s">
        <v>18</v>
      </c>
      <c r="C15" s="11" t="s">
        <v>97</v>
      </c>
      <c r="D15" s="3" t="s">
        <v>19</v>
      </c>
      <c r="E15" s="3" t="s">
        <v>98</v>
      </c>
      <c r="F15" s="12" t="s">
        <v>99</v>
      </c>
      <c r="G15" s="13" t="s">
        <v>100</v>
      </c>
      <c r="H15" s="14" t="n">
        <v>2</v>
      </c>
      <c r="I15" s="12" t="s">
        <v>50</v>
      </c>
      <c r="J15" s="13" t="s">
        <v>101</v>
      </c>
      <c r="K15" s="14" t="n">
        <v>1</v>
      </c>
    </row>
    <row r="16" customFormat="false" ht="35.05" hidden="false" customHeight="false" outlineLevel="0" collapsed="false">
      <c r="A16" s="3" t="n">
        <v>12</v>
      </c>
      <c r="B16" s="3" t="s">
        <v>20</v>
      </c>
      <c r="C16" s="11" t="s">
        <v>102</v>
      </c>
      <c r="D16" s="3" t="s">
        <v>19</v>
      </c>
      <c r="E16" s="3" t="s">
        <v>103</v>
      </c>
      <c r="F16" s="12" t="s">
        <v>104</v>
      </c>
      <c r="G16" s="13" t="s">
        <v>105</v>
      </c>
      <c r="H16" s="14" t="n">
        <v>50</v>
      </c>
      <c r="I16" s="12" t="s">
        <v>50</v>
      </c>
      <c r="J16" s="13" t="s">
        <v>106</v>
      </c>
      <c r="K16" s="14" t="n">
        <v>6</v>
      </c>
    </row>
    <row r="17" customFormat="false" ht="15" hidden="false" customHeight="false" outlineLevel="0" collapsed="false">
      <c r="A17" s="3" t="n">
        <v>13</v>
      </c>
      <c r="B17" s="3" t="s">
        <v>21</v>
      </c>
      <c r="C17" s="11" t="s">
        <v>107</v>
      </c>
      <c r="D17" s="3" t="s">
        <v>19</v>
      </c>
      <c r="E17" s="3" t="s">
        <v>108</v>
      </c>
      <c r="F17" s="12" t="s">
        <v>109</v>
      </c>
      <c r="G17" s="13" t="s">
        <v>110</v>
      </c>
      <c r="H17" s="14" t="n">
        <v>80</v>
      </c>
      <c r="I17" s="12" t="s">
        <v>50</v>
      </c>
      <c r="J17" s="13" t="s">
        <v>111</v>
      </c>
      <c r="K17" s="14" t="n">
        <v>2.4</v>
      </c>
    </row>
    <row r="18" customFormat="false" ht="15" hidden="false" customHeight="false" outlineLevel="0" collapsed="false">
      <c r="A18" s="3" t="n">
        <v>14</v>
      </c>
      <c r="B18" s="3" t="s">
        <v>22</v>
      </c>
      <c r="C18" s="11" t="s">
        <v>112</v>
      </c>
      <c r="D18" s="3" t="s">
        <v>19</v>
      </c>
      <c r="E18" s="3" t="s">
        <v>113</v>
      </c>
      <c r="F18" s="12" t="s">
        <v>114</v>
      </c>
      <c r="G18" s="13" t="s">
        <v>115</v>
      </c>
      <c r="H18" s="14" t="n">
        <v>60</v>
      </c>
      <c r="I18" s="12" t="s">
        <v>50</v>
      </c>
      <c r="J18" s="13" t="s">
        <v>116</v>
      </c>
      <c r="K18" s="14" t="n">
        <v>12</v>
      </c>
    </row>
    <row r="19" customFormat="false" ht="15" hidden="false" customHeight="false" outlineLevel="0" collapsed="false">
      <c r="A19" s="3" t="n">
        <v>15</v>
      </c>
      <c r="B19" s="3" t="s">
        <v>23</v>
      </c>
      <c r="C19" s="11" t="s">
        <v>117</v>
      </c>
      <c r="D19" s="3" t="s">
        <v>19</v>
      </c>
      <c r="E19" s="3" t="s">
        <v>118</v>
      </c>
      <c r="F19" s="12" t="s">
        <v>119</v>
      </c>
      <c r="G19" s="13" t="s">
        <v>120</v>
      </c>
      <c r="H19" s="14" t="n">
        <v>70</v>
      </c>
      <c r="I19" s="12" t="s">
        <v>50</v>
      </c>
      <c r="J19" s="13" t="s">
        <v>121</v>
      </c>
      <c r="K19" s="14" t="n">
        <v>14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3" min="3" style="0" width="38"/>
    <col collapsed="false" customWidth="true" hidden="false" outlineLevel="0" max="6" min="4" style="0" width="12"/>
    <col collapsed="false" customWidth="true" hidden="false" outlineLevel="0" max="8" min="7" style="0" width="22"/>
  </cols>
  <sheetData>
    <row r="1" customFormat="false" ht="16.15" hidden="false" customHeight="false" outlineLevel="0" collapsed="false">
      <c r="A1" s="1" t="s">
        <v>122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2" t="s">
        <v>1</v>
      </c>
      <c r="B3" s="2" t="s">
        <v>38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128</v>
      </c>
    </row>
    <row r="4" customFormat="false" ht="23.85" hidden="false" customHeight="false" outlineLevel="0" collapsed="false">
      <c r="A4" s="15" t="s">
        <v>7</v>
      </c>
      <c r="B4" s="11" t="s">
        <v>46</v>
      </c>
      <c r="C4" s="11" t="s">
        <v>129</v>
      </c>
      <c r="D4" s="16" t="s">
        <v>130</v>
      </c>
      <c r="E4" s="17" t="s">
        <v>130</v>
      </c>
      <c r="F4" s="18" t="s">
        <v>131</v>
      </c>
      <c r="G4" s="19" t="s">
        <v>132</v>
      </c>
      <c r="H4" s="19" t="s">
        <v>132</v>
      </c>
    </row>
    <row r="5" customFormat="false" ht="15" hidden="false" customHeight="false" outlineLevel="0" collapsed="false">
      <c r="A5" s="11"/>
      <c r="B5" s="11"/>
      <c r="C5" s="11" t="s">
        <v>133</v>
      </c>
      <c r="D5" s="16" t="s">
        <v>134</v>
      </c>
      <c r="E5" s="17" t="s">
        <v>134</v>
      </c>
      <c r="F5" s="18" t="s">
        <v>135</v>
      </c>
      <c r="G5" s="19" t="s">
        <v>136</v>
      </c>
      <c r="H5" s="19" t="s">
        <v>136</v>
      </c>
    </row>
    <row r="6" customFormat="false" ht="15" hidden="false" customHeight="false" outlineLevel="0" collapsed="false">
      <c r="A6" s="11"/>
      <c r="B6" s="11"/>
      <c r="C6" s="11" t="s">
        <v>137</v>
      </c>
      <c r="D6" s="16" t="s">
        <v>138</v>
      </c>
      <c r="E6" s="17" t="s">
        <v>138</v>
      </c>
      <c r="F6" s="18" t="s">
        <v>138</v>
      </c>
      <c r="G6" s="19" t="s">
        <v>132</v>
      </c>
      <c r="H6" s="19" t="s">
        <v>132</v>
      </c>
    </row>
    <row r="7" customFormat="false" ht="15" hidden="false" customHeight="false" outlineLevel="0" collapsed="false">
      <c r="A7" s="11"/>
      <c r="B7" s="11"/>
      <c r="C7" s="11" t="s">
        <v>139</v>
      </c>
      <c r="D7" s="16" t="s">
        <v>48</v>
      </c>
      <c r="E7" s="17" t="s">
        <v>140</v>
      </c>
      <c r="F7" s="18" t="s">
        <v>141</v>
      </c>
      <c r="G7" s="20" t="s">
        <v>142</v>
      </c>
      <c r="H7" s="19" t="s">
        <v>143</v>
      </c>
    </row>
    <row r="8" customFormat="false" ht="15" hidden="false" customHeight="false" outlineLevel="0" collapsed="false">
      <c r="A8" s="11"/>
      <c r="B8" s="11"/>
      <c r="C8" s="11" t="s">
        <v>144</v>
      </c>
      <c r="D8" s="16" t="s">
        <v>48</v>
      </c>
      <c r="E8" s="17" t="s">
        <v>49</v>
      </c>
      <c r="F8" s="18" t="s">
        <v>145</v>
      </c>
      <c r="G8" s="19" t="s">
        <v>146</v>
      </c>
      <c r="H8" s="20" t="s">
        <v>147</v>
      </c>
    </row>
    <row r="9" customFormat="false" ht="15" hidden="false" customHeight="false" outlineLevel="0" collapsed="false">
      <c r="A9" s="11"/>
      <c r="B9" s="11"/>
      <c r="C9" s="11" t="s">
        <v>148</v>
      </c>
      <c r="D9" s="16" t="s">
        <v>149</v>
      </c>
      <c r="E9" s="17" t="s">
        <v>150</v>
      </c>
      <c r="F9" s="18" t="s">
        <v>151</v>
      </c>
      <c r="G9" s="19" t="s">
        <v>152</v>
      </c>
      <c r="H9" s="19" t="s">
        <v>153</v>
      </c>
    </row>
    <row r="10" customFormat="false" ht="15" hidden="false" customHeight="false" outlineLevel="0" collapsed="false">
      <c r="A10" s="11"/>
      <c r="B10" s="11"/>
      <c r="C10" s="11" t="s">
        <v>154</v>
      </c>
      <c r="D10" s="16" t="s">
        <v>155</v>
      </c>
      <c r="E10" s="17" t="s">
        <v>156</v>
      </c>
      <c r="F10" s="18" t="s">
        <v>99</v>
      </c>
      <c r="G10" s="20" t="s">
        <v>157</v>
      </c>
      <c r="H10" s="19" t="s">
        <v>158</v>
      </c>
    </row>
    <row r="11" customFormat="false" ht="15" hidden="false" customHeight="false" outlineLevel="0" collapsed="false">
      <c r="A11" s="11"/>
      <c r="B11" s="11"/>
      <c r="C11" s="11" t="s">
        <v>159</v>
      </c>
      <c r="D11" s="16" t="s">
        <v>160</v>
      </c>
      <c r="E11" s="17" t="s">
        <v>161</v>
      </c>
      <c r="F11" s="18" t="s">
        <v>162</v>
      </c>
      <c r="G11" s="19" t="s">
        <v>163</v>
      </c>
      <c r="H11" s="19" t="s">
        <v>164</v>
      </c>
    </row>
    <row r="12" customFormat="false" ht="15" hidden="false" customHeight="false" outlineLevel="0" collapsed="false">
      <c r="A12" s="11"/>
      <c r="B12" s="11"/>
      <c r="C12" s="11" t="s">
        <v>165</v>
      </c>
      <c r="D12" s="16" t="s">
        <v>166</v>
      </c>
      <c r="E12" s="17" t="s">
        <v>167</v>
      </c>
      <c r="F12" s="18" t="s">
        <v>168</v>
      </c>
      <c r="G12" s="20" t="s">
        <v>169</v>
      </c>
      <c r="H12" s="20" t="s">
        <v>170</v>
      </c>
    </row>
    <row r="13" customFormat="false" ht="15" hidden="false" customHeight="false" outlineLevel="0" collapsed="false">
      <c r="A13" s="11"/>
      <c r="B13" s="11"/>
      <c r="C13" s="11" t="s">
        <v>171</v>
      </c>
      <c r="D13" s="16" t="s">
        <v>50</v>
      </c>
      <c r="E13" s="17" t="s">
        <v>51</v>
      </c>
      <c r="F13" s="18" t="s">
        <v>145</v>
      </c>
      <c r="G13" s="20" t="s">
        <v>172</v>
      </c>
      <c r="H13" s="20" t="s">
        <v>173</v>
      </c>
    </row>
    <row r="14" customFormat="false" ht="15" hidden="false" customHeight="false" outlineLevel="0" collapsed="false">
      <c r="A14" s="11"/>
      <c r="B14" s="11"/>
      <c r="C14" s="11" t="s">
        <v>174</v>
      </c>
      <c r="D14" s="16"/>
      <c r="E14" s="17" t="s">
        <v>175</v>
      </c>
      <c r="F14" s="18" t="s">
        <v>176</v>
      </c>
      <c r="G14" s="11" t="s">
        <v>177</v>
      </c>
      <c r="H14" s="19" t="s">
        <v>178</v>
      </c>
    </row>
    <row r="15" customFormat="false" ht="15" hidden="false" customHeight="false" outlineLevel="0" collapsed="false">
      <c r="A15" s="11"/>
      <c r="B15" s="11"/>
      <c r="C15" s="11" t="s">
        <v>179</v>
      </c>
      <c r="D15" s="16" t="s">
        <v>155</v>
      </c>
      <c r="E15" s="17" t="s">
        <v>180</v>
      </c>
      <c r="F15" s="18" t="s">
        <v>99</v>
      </c>
      <c r="G15" s="20" t="s">
        <v>157</v>
      </c>
      <c r="H15" s="20" t="s">
        <v>181</v>
      </c>
    </row>
    <row r="16" customFormat="false" ht="15" hidden="false" customHeight="false" outlineLevel="0" collapsed="false">
      <c r="A16" s="11"/>
      <c r="B16" s="11"/>
      <c r="C16" s="11" t="s">
        <v>182</v>
      </c>
      <c r="D16" s="16" t="s">
        <v>155</v>
      </c>
      <c r="E16" s="17" t="s">
        <v>183</v>
      </c>
      <c r="F16" s="18" t="s">
        <v>99</v>
      </c>
      <c r="G16" s="20" t="s">
        <v>157</v>
      </c>
      <c r="H16" s="19" t="s">
        <v>184</v>
      </c>
    </row>
    <row r="17" customFormat="false" ht="15" hidden="false" customHeight="false" outlineLevel="0" collapsed="false">
      <c r="A17" s="11"/>
      <c r="B17" s="11"/>
      <c r="C17" s="11" t="s">
        <v>185</v>
      </c>
      <c r="D17" s="16" t="s">
        <v>186</v>
      </c>
      <c r="E17" s="17" t="s">
        <v>187</v>
      </c>
      <c r="F17" s="18" t="s">
        <v>188</v>
      </c>
      <c r="G17" s="20" t="s">
        <v>189</v>
      </c>
      <c r="H17" s="20" t="s">
        <v>190</v>
      </c>
    </row>
    <row r="18" customFormat="false" ht="15" hidden="false" customHeight="false" outlineLevel="0" collapsed="false">
      <c r="A18" s="11"/>
      <c r="B18" s="11"/>
      <c r="C18" s="11" t="s">
        <v>191</v>
      </c>
      <c r="D18" s="16" t="s">
        <v>192</v>
      </c>
      <c r="E18" s="17" t="s">
        <v>193</v>
      </c>
      <c r="F18" s="18" t="s">
        <v>194</v>
      </c>
      <c r="G18" s="20" t="s">
        <v>195</v>
      </c>
      <c r="H18" s="20" t="s">
        <v>196</v>
      </c>
    </row>
    <row r="20" customFormat="false" ht="15" hidden="false" customHeight="false" outlineLevel="0" collapsed="false">
      <c r="A20" s="15" t="s">
        <v>9</v>
      </c>
      <c r="B20" s="11" t="s">
        <v>52</v>
      </c>
      <c r="C20" s="11" t="s">
        <v>129</v>
      </c>
      <c r="D20" s="16" t="s">
        <v>197</v>
      </c>
      <c r="E20" s="17" t="s">
        <v>197</v>
      </c>
      <c r="F20" s="18" t="s">
        <v>197</v>
      </c>
      <c r="G20" s="19" t="s">
        <v>198</v>
      </c>
      <c r="H20" s="19" t="s">
        <v>198</v>
      </c>
    </row>
    <row r="21" customFormat="false" ht="15" hidden="false" customHeight="false" outlineLevel="0" collapsed="false">
      <c r="A21" s="11"/>
      <c r="B21" s="11"/>
      <c r="C21" s="11" t="s">
        <v>133</v>
      </c>
      <c r="D21" s="16" t="s">
        <v>199</v>
      </c>
      <c r="E21" s="17" t="s">
        <v>199</v>
      </c>
      <c r="F21" s="18" t="s">
        <v>200</v>
      </c>
      <c r="G21" s="19" t="s">
        <v>201</v>
      </c>
      <c r="H21" s="19" t="s">
        <v>201</v>
      </c>
    </row>
    <row r="22" customFormat="false" ht="15" hidden="false" customHeight="false" outlineLevel="0" collapsed="false">
      <c r="A22" s="11"/>
      <c r="B22" s="11"/>
      <c r="C22" s="11" t="s">
        <v>137</v>
      </c>
      <c r="D22" s="16" t="s">
        <v>202</v>
      </c>
      <c r="E22" s="17" t="s">
        <v>202</v>
      </c>
      <c r="F22" s="18" t="s">
        <v>202</v>
      </c>
      <c r="G22" s="19" t="s">
        <v>132</v>
      </c>
      <c r="H22" s="19" t="s">
        <v>132</v>
      </c>
    </row>
    <row r="23" customFormat="false" ht="15" hidden="false" customHeight="false" outlineLevel="0" collapsed="false">
      <c r="A23" s="11"/>
      <c r="B23" s="11"/>
      <c r="C23" s="11" t="s">
        <v>139</v>
      </c>
      <c r="D23" s="16" t="s">
        <v>54</v>
      </c>
      <c r="E23" s="17" t="s">
        <v>203</v>
      </c>
      <c r="F23" s="18" t="s">
        <v>204</v>
      </c>
      <c r="G23" s="20" t="s">
        <v>205</v>
      </c>
      <c r="H23" s="19" t="s">
        <v>206</v>
      </c>
    </row>
    <row r="24" customFormat="false" ht="15" hidden="false" customHeight="false" outlineLevel="0" collapsed="false">
      <c r="A24" s="11"/>
      <c r="B24" s="11"/>
      <c r="C24" s="11" t="s">
        <v>144</v>
      </c>
      <c r="D24" s="16" t="s">
        <v>54</v>
      </c>
      <c r="E24" s="17" t="s">
        <v>55</v>
      </c>
      <c r="F24" s="18" t="s">
        <v>207</v>
      </c>
      <c r="G24" s="19" t="s">
        <v>208</v>
      </c>
      <c r="H24" s="19" t="s">
        <v>209</v>
      </c>
    </row>
    <row r="25" customFormat="false" ht="15" hidden="false" customHeight="false" outlineLevel="0" collapsed="false">
      <c r="A25" s="11"/>
      <c r="B25" s="11"/>
      <c r="C25" s="11" t="s">
        <v>148</v>
      </c>
      <c r="D25" s="16" t="s">
        <v>210</v>
      </c>
      <c r="E25" s="17" t="s">
        <v>211</v>
      </c>
      <c r="F25" s="18" t="s">
        <v>212</v>
      </c>
      <c r="G25" s="19" t="s">
        <v>213</v>
      </c>
      <c r="H25" s="19" t="s">
        <v>214</v>
      </c>
    </row>
    <row r="26" customFormat="false" ht="15" hidden="false" customHeight="false" outlineLevel="0" collapsed="false">
      <c r="A26" s="11"/>
      <c r="B26" s="11"/>
      <c r="C26" s="11" t="s">
        <v>154</v>
      </c>
      <c r="D26" s="16" t="s">
        <v>99</v>
      </c>
      <c r="E26" s="17" t="s">
        <v>215</v>
      </c>
      <c r="F26" s="18" t="s">
        <v>155</v>
      </c>
      <c r="G26" s="20" t="s">
        <v>216</v>
      </c>
      <c r="H26" s="19" t="s">
        <v>217</v>
      </c>
    </row>
    <row r="27" customFormat="false" ht="15" hidden="false" customHeight="false" outlineLevel="0" collapsed="false">
      <c r="A27" s="11"/>
      <c r="B27" s="11"/>
      <c r="C27" s="11" t="s">
        <v>159</v>
      </c>
      <c r="D27" s="16" t="s">
        <v>49</v>
      </c>
      <c r="E27" s="17" t="s">
        <v>218</v>
      </c>
      <c r="F27" s="18" t="s">
        <v>219</v>
      </c>
      <c r="G27" s="19" t="s">
        <v>220</v>
      </c>
      <c r="H27" s="19" t="s">
        <v>221</v>
      </c>
    </row>
    <row r="28" customFormat="false" ht="23.85" hidden="false" customHeight="false" outlineLevel="0" collapsed="false">
      <c r="A28" s="11"/>
      <c r="B28" s="11"/>
      <c r="C28" s="11" t="s">
        <v>165</v>
      </c>
      <c r="D28" s="16" t="s">
        <v>222</v>
      </c>
      <c r="E28" s="17" t="s">
        <v>223</v>
      </c>
      <c r="F28" s="18" t="s">
        <v>224</v>
      </c>
      <c r="G28" s="20" t="s">
        <v>225</v>
      </c>
      <c r="H28" s="20" t="s">
        <v>226</v>
      </c>
    </row>
    <row r="29" customFormat="false" ht="15" hidden="false" customHeight="false" outlineLevel="0" collapsed="false">
      <c r="A29" s="11"/>
      <c r="B29" s="11"/>
      <c r="C29" s="11" t="s">
        <v>171</v>
      </c>
      <c r="D29" s="16" t="s">
        <v>50</v>
      </c>
      <c r="E29" s="17" t="s">
        <v>56</v>
      </c>
      <c r="F29" s="18" t="s">
        <v>188</v>
      </c>
      <c r="G29" s="20" t="s">
        <v>227</v>
      </c>
      <c r="H29" s="20" t="s">
        <v>228</v>
      </c>
    </row>
    <row r="30" customFormat="false" ht="15" hidden="false" customHeight="false" outlineLevel="0" collapsed="false">
      <c r="A30" s="11"/>
      <c r="B30" s="11"/>
      <c r="C30" s="11" t="s">
        <v>174</v>
      </c>
      <c r="D30" s="16"/>
      <c r="E30" s="17" t="s">
        <v>229</v>
      </c>
      <c r="F30" s="18" t="s">
        <v>230</v>
      </c>
      <c r="G30" s="11" t="s">
        <v>177</v>
      </c>
      <c r="H30" s="19" t="s">
        <v>231</v>
      </c>
    </row>
    <row r="31" customFormat="false" ht="15" hidden="false" customHeight="false" outlineLevel="0" collapsed="false">
      <c r="A31" s="11"/>
      <c r="B31" s="11"/>
      <c r="C31" s="11" t="s">
        <v>179</v>
      </c>
      <c r="D31" s="16" t="s">
        <v>99</v>
      </c>
      <c r="E31" s="17" t="s">
        <v>232</v>
      </c>
      <c r="F31" s="18" t="s">
        <v>99</v>
      </c>
      <c r="G31" s="19" t="s">
        <v>233</v>
      </c>
      <c r="H31" s="19" t="s">
        <v>233</v>
      </c>
    </row>
    <row r="32" customFormat="false" ht="15" hidden="false" customHeight="false" outlineLevel="0" collapsed="false">
      <c r="A32" s="11"/>
      <c r="B32" s="11"/>
      <c r="C32" s="11" t="s">
        <v>182</v>
      </c>
      <c r="D32" s="16" t="s">
        <v>99</v>
      </c>
      <c r="E32" s="17" t="s">
        <v>234</v>
      </c>
      <c r="F32" s="18" t="s">
        <v>99</v>
      </c>
      <c r="G32" s="19" t="s">
        <v>233</v>
      </c>
      <c r="H32" s="19" t="s">
        <v>235</v>
      </c>
    </row>
    <row r="33" customFormat="false" ht="15" hidden="false" customHeight="false" outlineLevel="0" collapsed="false">
      <c r="A33" s="11"/>
      <c r="B33" s="11"/>
      <c r="C33" s="11" t="s">
        <v>185</v>
      </c>
      <c r="D33" s="16" t="s">
        <v>236</v>
      </c>
      <c r="E33" s="17" t="s">
        <v>237</v>
      </c>
      <c r="F33" s="18" t="s">
        <v>236</v>
      </c>
      <c r="G33" s="19" t="s">
        <v>238</v>
      </c>
      <c r="H33" s="20" t="s">
        <v>239</v>
      </c>
    </row>
    <row r="34" customFormat="false" ht="15" hidden="false" customHeight="false" outlineLevel="0" collapsed="false">
      <c r="A34" s="11"/>
      <c r="B34" s="11"/>
      <c r="C34" s="11" t="s">
        <v>191</v>
      </c>
      <c r="D34" s="16" t="s">
        <v>240</v>
      </c>
      <c r="E34" s="17" t="s">
        <v>241</v>
      </c>
      <c r="F34" s="18" t="s">
        <v>242</v>
      </c>
      <c r="G34" s="20" t="s">
        <v>243</v>
      </c>
      <c r="H34" s="20" t="s">
        <v>244</v>
      </c>
    </row>
    <row r="36" customFormat="false" ht="15" hidden="false" customHeight="false" outlineLevel="0" collapsed="false">
      <c r="A36" s="15" t="s">
        <v>10</v>
      </c>
      <c r="B36" s="11" t="s">
        <v>57</v>
      </c>
      <c r="C36" s="11" t="s">
        <v>129</v>
      </c>
      <c r="D36" s="16" t="s">
        <v>245</v>
      </c>
      <c r="E36" s="17" t="s">
        <v>245</v>
      </c>
      <c r="F36" s="18" t="s">
        <v>245</v>
      </c>
      <c r="G36" s="19" t="s">
        <v>132</v>
      </c>
      <c r="H36" s="19" t="s">
        <v>132</v>
      </c>
    </row>
    <row r="37" customFormat="false" ht="15" hidden="false" customHeight="false" outlineLevel="0" collapsed="false">
      <c r="A37" s="11"/>
      <c r="B37" s="11"/>
      <c r="C37" s="11" t="s">
        <v>133</v>
      </c>
      <c r="D37" s="16" t="s">
        <v>246</v>
      </c>
      <c r="E37" s="17" t="s">
        <v>246</v>
      </c>
      <c r="F37" s="18" t="s">
        <v>247</v>
      </c>
      <c r="G37" s="19" t="s">
        <v>248</v>
      </c>
      <c r="H37" s="19" t="s">
        <v>248</v>
      </c>
    </row>
    <row r="38" customFormat="false" ht="15" hidden="false" customHeight="false" outlineLevel="0" collapsed="false">
      <c r="A38" s="11"/>
      <c r="B38" s="11"/>
      <c r="C38" s="11" t="s">
        <v>137</v>
      </c>
      <c r="D38" s="16" t="s">
        <v>249</v>
      </c>
      <c r="E38" s="17" t="s">
        <v>249</v>
      </c>
      <c r="F38" s="18" t="s">
        <v>249</v>
      </c>
      <c r="G38" s="19" t="s">
        <v>132</v>
      </c>
      <c r="H38" s="19" t="s">
        <v>132</v>
      </c>
    </row>
    <row r="39" customFormat="false" ht="15" hidden="false" customHeight="false" outlineLevel="0" collapsed="false">
      <c r="A39" s="11"/>
      <c r="B39" s="11"/>
      <c r="C39" s="11" t="s">
        <v>139</v>
      </c>
      <c r="D39" s="16" t="s">
        <v>59</v>
      </c>
      <c r="E39" s="17" t="s">
        <v>250</v>
      </c>
      <c r="F39" s="18" t="s">
        <v>141</v>
      </c>
      <c r="G39" s="19" t="s">
        <v>251</v>
      </c>
      <c r="H39" s="19" t="s">
        <v>252</v>
      </c>
    </row>
    <row r="40" customFormat="false" ht="15" hidden="false" customHeight="false" outlineLevel="0" collapsed="false">
      <c r="A40" s="11"/>
      <c r="B40" s="11"/>
      <c r="C40" s="11" t="s">
        <v>144</v>
      </c>
      <c r="D40" s="16" t="s">
        <v>59</v>
      </c>
      <c r="E40" s="17" t="s">
        <v>60</v>
      </c>
      <c r="F40" s="18" t="s">
        <v>204</v>
      </c>
      <c r="G40" s="19" t="s">
        <v>253</v>
      </c>
      <c r="H40" s="19" t="s">
        <v>254</v>
      </c>
    </row>
    <row r="41" customFormat="false" ht="15" hidden="false" customHeight="false" outlineLevel="0" collapsed="false">
      <c r="A41" s="11"/>
      <c r="B41" s="11"/>
      <c r="C41" s="11" t="s">
        <v>148</v>
      </c>
      <c r="D41" s="16" t="s">
        <v>255</v>
      </c>
      <c r="E41" s="17" t="s">
        <v>256</v>
      </c>
      <c r="F41" s="18" t="s">
        <v>257</v>
      </c>
      <c r="G41" s="19" t="s">
        <v>258</v>
      </c>
      <c r="H41" s="19" t="s">
        <v>259</v>
      </c>
    </row>
    <row r="42" customFormat="false" ht="15" hidden="false" customHeight="false" outlineLevel="0" collapsed="false">
      <c r="A42" s="11"/>
      <c r="B42" s="11"/>
      <c r="C42" s="11" t="s">
        <v>154</v>
      </c>
      <c r="D42" s="16" t="s">
        <v>155</v>
      </c>
      <c r="E42" s="17" t="s">
        <v>260</v>
      </c>
      <c r="F42" s="18" t="s">
        <v>99</v>
      </c>
      <c r="G42" s="20" t="s">
        <v>157</v>
      </c>
      <c r="H42" s="20" t="s">
        <v>261</v>
      </c>
    </row>
    <row r="43" customFormat="false" ht="15" hidden="false" customHeight="false" outlineLevel="0" collapsed="false">
      <c r="A43" s="11"/>
      <c r="B43" s="11"/>
      <c r="C43" s="11" t="s">
        <v>159</v>
      </c>
      <c r="D43" s="16" t="s">
        <v>262</v>
      </c>
      <c r="E43" s="17" t="s">
        <v>263</v>
      </c>
      <c r="F43" s="18" t="s">
        <v>141</v>
      </c>
      <c r="G43" s="19" t="s">
        <v>264</v>
      </c>
      <c r="H43" s="19" t="s">
        <v>265</v>
      </c>
    </row>
    <row r="44" customFormat="false" ht="15" hidden="false" customHeight="false" outlineLevel="0" collapsed="false">
      <c r="A44" s="11"/>
      <c r="B44" s="11"/>
      <c r="C44" s="11" t="s">
        <v>165</v>
      </c>
      <c r="D44" s="16" t="s">
        <v>222</v>
      </c>
      <c r="E44" s="17" t="s">
        <v>266</v>
      </c>
      <c r="F44" s="18" t="s">
        <v>224</v>
      </c>
      <c r="G44" s="20" t="s">
        <v>225</v>
      </c>
      <c r="H44" s="20" t="s">
        <v>267</v>
      </c>
    </row>
    <row r="45" customFormat="false" ht="15" hidden="false" customHeight="false" outlineLevel="0" collapsed="false">
      <c r="A45" s="11"/>
      <c r="B45" s="11"/>
      <c r="C45" s="11" t="s">
        <v>171</v>
      </c>
      <c r="D45" s="16" t="s">
        <v>50</v>
      </c>
      <c r="E45" s="17" t="s">
        <v>61</v>
      </c>
      <c r="F45" s="18" t="s">
        <v>268</v>
      </c>
      <c r="G45" s="20" t="s">
        <v>269</v>
      </c>
      <c r="H45" s="20" t="s">
        <v>270</v>
      </c>
    </row>
    <row r="46" customFormat="false" ht="15" hidden="false" customHeight="false" outlineLevel="0" collapsed="false">
      <c r="A46" s="11"/>
      <c r="B46" s="11"/>
      <c r="C46" s="11" t="s">
        <v>174</v>
      </c>
      <c r="D46" s="16"/>
      <c r="E46" s="17" t="s">
        <v>271</v>
      </c>
      <c r="F46" s="18" t="s">
        <v>272</v>
      </c>
      <c r="G46" s="11" t="s">
        <v>177</v>
      </c>
      <c r="H46" s="19" t="s">
        <v>273</v>
      </c>
    </row>
    <row r="47" customFormat="false" ht="15" hidden="false" customHeight="false" outlineLevel="0" collapsed="false">
      <c r="A47" s="11"/>
      <c r="B47" s="11"/>
      <c r="C47" s="11" t="s">
        <v>179</v>
      </c>
      <c r="D47" s="16" t="s">
        <v>99</v>
      </c>
      <c r="E47" s="17" t="s">
        <v>274</v>
      </c>
      <c r="F47" s="18" t="s">
        <v>99</v>
      </c>
      <c r="G47" s="19" t="s">
        <v>233</v>
      </c>
      <c r="H47" s="19" t="s">
        <v>275</v>
      </c>
    </row>
    <row r="48" customFormat="false" ht="15" hidden="false" customHeight="false" outlineLevel="0" collapsed="false">
      <c r="A48" s="11"/>
      <c r="B48" s="11"/>
      <c r="C48" s="11" t="s">
        <v>182</v>
      </c>
      <c r="D48" s="16" t="s">
        <v>99</v>
      </c>
      <c r="E48" s="17" t="s">
        <v>276</v>
      </c>
      <c r="F48" s="18" t="s">
        <v>99</v>
      </c>
      <c r="G48" s="19" t="s">
        <v>233</v>
      </c>
      <c r="H48" s="19" t="s">
        <v>275</v>
      </c>
    </row>
    <row r="49" customFormat="false" ht="15" hidden="false" customHeight="false" outlineLevel="0" collapsed="false">
      <c r="A49" s="11"/>
      <c r="B49" s="11"/>
      <c r="C49" s="11" t="s">
        <v>185</v>
      </c>
      <c r="D49" s="16" t="s">
        <v>50</v>
      </c>
      <c r="E49" s="17" t="s">
        <v>277</v>
      </c>
      <c r="F49" s="18" t="s">
        <v>278</v>
      </c>
      <c r="G49" s="20" t="s">
        <v>279</v>
      </c>
      <c r="H49" s="19" t="s">
        <v>280</v>
      </c>
    </row>
    <row r="50" customFormat="false" ht="15" hidden="false" customHeight="false" outlineLevel="0" collapsed="false">
      <c r="A50" s="11"/>
      <c r="B50" s="11"/>
      <c r="C50" s="11" t="s">
        <v>191</v>
      </c>
      <c r="D50" s="16" t="s">
        <v>281</v>
      </c>
      <c r="E50" s="17" t="s">
        <v>282</v>
      </c>
      <c r="F50" s="18" t="s">
        <v>283</v>
      </c>
      <c r="G50" s="20" t="s">
        <v>284</v>
      </c>
      <c r="H50" s="19" t="s">
        <v>285</v>
      </c>
    </row>
    <row r="52" customFormat="false" ht="15" hidden="false" customHeight="false" outlineLevel="0" collapsed="false">
      <c r="A52" s="15" t="s">
        <v>11</v>
      </c>
      <c r="B52" s="11" t="s">
        <v>62</v>
      </c>
      <c r="C52" s="11" t="s">
        <v>129</v>
      </c>
      <c r="D52" s="16" t="s">
        <v>286</v>
      </c>
      <c r="E52" s="17" t="s">
        <v>286</v>
      </c>
      <c r="F52" s="18" t="s">
        <v>286</v>
      </c>
      <c r="G52" s="19" t="s">
        <v>287</v>
      </c>
      <c r="H52" s="19" t="s">
        <v>287</v>
      </c>
    </row>
    <row r="53" customFormat="false" ht="15" hidden="false" customHeight="false" outlineLevel="0" collapsed="false">
      <c r="A53" s="11"/>
      <c r="B53" s="11"/>
      <c r="C53" s="11" t="s">
        <v>133</v>
      </c>
      <c r="D53" s="16" t="s">
        <v>288</v>
      </c>
      <c r="E53" s="17" t="s">
        <v>288</v>
      </c>
      <c r="F53" s="18" t="s">
        <v>289</v>
      </c>
      <c r="G53" s="19" t="s">
        <v>290</v>
      </c>
      <c r="H53" s="19" t="s">
        <v>290</v>
      </c>
    </row>
    <row r="54" customFormat="false" ht="15" hidden="false" customHeight="false" outlineLevel="0" collapsed="false">
      <c r="A54" s="11"/>
      <c r="B54" s="11"/>
      <c r="C54" s="11" t="s">
        <v>137</v>
      </c>
      <c r="D54" s="16" t="s">
        <v>291</v>
      </c>
      <c r="E54" s="17" t="s">
        <v>291</v>
      </c>
      <c r="F54" s="18" t="s">
        <v>292</v>
      </c>
      <c r="G54" s="19" t="s">
        <v>293</v>
      </c>
      <c r="H54" s="19" t="s">
        <v>293</v>
      </c>
    </row>
    <row r="55" customFormat="false" ht="15" hidden="false" customHeight="false" outlineLevel="0" collapsed="false">
      <c r="A55" s="11"/>
      <c r="B55" s="11"/>
      <c r="C55" s="11" t="s">
        <v>139</v>
      </c>
      <c r="D55" s="16" t="s">
        <v>294</v>
      </c>
      <c r="E55" s="17" t="s">
        <v>109</v>
      </c>
      <c r="F55" s="18" t="s">
        <v>295</v>
      </c>
      <c r="G55" s="20" t="s">
        <v>296</v>
      </c>
      <c r="H55" s="20" t="s">
        <v>297</v>
      </c>
    </row>
    <row r="56" customFormat="false" ht="15" hidden="false" customHeight="false" outlineLevel="0" collapsed="false">
      <c r="A56" s="11"/>
      <c r="B56" s="11"/>
      <c r="C56" s="11" t="s">
        <v>144</v>
      </c>
      <c r="D56" s="16" t="s">
        <v>64</v>
      </c>
      <c r="E56" s="17" t="s">
        <v>65</v>
      </c>
      <c r="F56" s="18" t="s">
        <v>298</v>
      </c>
      <c r="G56" s="20" t="s">
        <v>299</v>
      </c>
      <c r="H56" s="19" t="s">
        <v>300</v>
      </c>
    </row>
    <row r="57" customFormat="false" ht="15" hidden="false" customHeight="false" outlineLevel="0" collapsed="false">
      <c r="A57" s="11"/>
      <c r="B57" s="11"/>
      <c r="C57" s="11" t="s">
        <v>148</v>
      </c>
      <c r="D57" s="16" t="s">
        <v>301</v>
      </c>
      <c r="E57" s="17" t="s">
        <v>302</v>
      </c>
      <c r="F57" s="18" t="s">
        <v>303</v>
      </c>
      <c r="G57" s="19" t="s">
        <v>304</v>
      </c>
      <c r="H57" s="19" t="s">
        <v>305</v>
      </c>
    </row>
    <row r="58" customFormat="false" ht="15" hidden="false" customHeight="false" outlineLevel="0" collapsed="false">
      <c r="A58" s="11"/>
      <c r="B58" s="11"/>
      <c r="C58" s="11" t="s">
        <v>154</v>
      </c>
      <c r="D58" s="16" t="s">
        <v>99</v>
      </c>
      <c r="E58" s="17" t="s">
        <v>306</v>
      </c>
      <c r="F58" s="18" t="s">
        <v>99</v>
      </c>
      <c r="G58" s="19" t="s">
        <v>233</v>
      </c>
      <c r="H58" s="20" t="s">
        <v>261</v>
      </c>
    </row>
    <row r="59" customFormat="false" ht="15" hidden="false" customHeight="false" outlineLevel="0" collapsed="false">
      <c r="A59" s="11"/>
      <c r="B59" s="11"/>
      <c r="C59" s="11" t="s">
        <v>159</v>
      </c>
      <c r="D59" s="16" t="s">
        <v>307</v>
      </c>
      <c r="E59" s="17" t="s">
        <v>308</v>
      </c>
      <c r="F59" s="18" t="s">
        <v>309</v>
      </c>
      <c r="G59" s="20" t="s">
        <v>310</v>
      </c>
      <c r="H59" s="20" t="s">
        <v>311</v>
      </c>
    </row>
    <row r="60" customFormat="false" ht="15" hidden="false" customHeight="false" outlineLevel="0" collapsed="false">
      <c r="A60" s="11"/>
      <c r="B60" s="11"/>
      <c r="C60" s="11" t="s">
        <v>165</v>
      </c>
      <c r="D60" s="16" t="s">
        <v>312</v>
      </c>
      <c r="E60" s="17" t="s">
        <v>99</v>
      </c>
      <c r="F60" s="18" t="s">
        <v>313</v>
      </c>
      <c r="G60" s="20" t="s">
        <v>314</v>
      </c>
      <c r="H60" s="20" t="s">
        <v>315</v>
      </c>
    </row>
    <row r="61" customFormat="false" ht="15" hidden="false" customHeight="false" outlineLevel="0" collapsed="false">
      <c r="A61" s="11"/>
      <c r="B61" s="11"/>
      <c r="C61" s="11" t="s">
        <v>171</v>
      </c>
      <c r="D61" s="16" t="s">
        <v>50</v>
      </c>
      <c r="E61" s="17" t="s">
        <v>66</v>
      </c>
      <c r="F61" s="18" t="s">
        <v>316</v>
      </c>
      <c r="G61" s="20" t="s">
        <v>317</v>
      </c>
      <c r="H61" s="19" t="s">
        <v>318</v>
      </c>
    </row>
    <row r="62" customFormat="false" ht="15" hidden="false" customHeight="false" outlineLevel="0" collapsed="false">
      <c r="A62" s="11"/>
      <c r="B62" s="11"/>
      <c r="C62" s="11" t="s">
        <v>174</v>
      </c>
      <c r="D62" s="16"/>
      <c r="E62" s="17" t="s">
        <v>319</v>
      </c>
      <c r="F62" s="18" t="s">
        <v>320</v>
      </c>
      <c r="G62" s="11" t="s">
        <v>177</v>
      </c>
      <c r="H62" s="20" t="s">
        <v>321</v>
      </c>
    </row>
    <row r="63" customFormat="false" ht="15" hidden="false" customHeight="false" outlineLevel="0" collapsed="false">
      <c r="A63" s="11"/>
      <c r="B63" s="11"/>
      <c r="C63" s="11" t="s">
        <v>179</v>
      </c>
      <c r="D63" s="16" t="s">
        <v>99</v>
      </c>
      <c r="E63" s="17" t="s">
        <v>322</v>
      </c>
      <c r="F63" s="18" t="s">
        <v>99</v>
      </c>
      <c r="G63" s="19" t="s">
        <v>233</v>
      </c>
      <c r="H63" s="19" t="s">
        <v>275</v>
      </c>
    </row>
    <row r="64" customFormat="false" ht="15" hidden="false" customHeight="false" outlineLevel="0" collapsed="false">
      <c r="A64" s="11"/>
      <c r="B64" s="11"/>
      <c r="C64" s="11" t="s">
        <v>182</v>
      </c>
      <c r="D64" s="16" t="s">
        <v>99</v>
      </c>
      <c r="E64" s="17" t="s">
        <v>323</v>
      </c>
      <c r="F64" s="18" t="s">
        <v>99</v>
      </c>
      <c r="G64" s="19" t="s">
        <v>233</v>
      </c>
      <c r="H64" s="19" t="s">
        <v>184</v>
      </c>
    </row>
    <row r="65" customFormat="false" ht="15" hidden="false" customHeight="false" outlineLevel="0" collapsed="false">
      <c r="A65" s="11"/>
      <c r="B65" s="11"/>
      <c r="C65" s="11" t="s">
        <v>185</v>
      </c>
      <c r="D65" s="16" t="s">
        <v>236</v>
      </c>
      <c r="E65" s="17" t="s">
        <v>324</v>
      </c>
      <c r="F65" s="18" t="s">
        <v>236</v>
      </c>
      <c r="G65" s="19" t="s">
        <v>238</v>
      </c>
      <c r="H65" s="19" t="s">
        <v>325</v>
      </c>
    </row>
    <row r="66" customFormat="false" ht="15" hidden="false" customHeight="false" outlineLevel="0" collapsed="false">
      <c r="A66" s="11"/>
      <c r="B66" s="11"/>
      <c r="C66" s="11" t="s">
        <v>191</v>
      </c>
      <c r="D66" s="16" t="s">
        <v>326</v>
      </c>
      <c r="E66" s="17" t="s">
        <v>327</v>
      </c>
      <c r="F66" s="18" t="s">
        <v>328</v>
      </c>
      <c r="G66" s="20" t="s">
        <v>329</v>
      </c>
      <c r="H66" s="20" t="s">
        <v>330</v>
      </c>
    </row>
    <row r="68" customFormat="false" ht="15" hidden="false" customHeight="false" outlineLevel="0" collapsed="false">
      <c r="A68" s="15" t="s">
        <v>12</v>
      </c>
      <c r="B68" s="11" t="s">
        <v>67</v>
      </c>
      <c r="C68" s="11" t="s">
        <v>129</v>
      </c>
      <c r="D68" s="16" t="s">
        <v>331</v>
      </c>
      <c r="E68" s="17" t="s">
        <v>331</v>
      </c>
      <c r="F68" s="18" t="s">
        <v>331</v>
      </c>
      <c r="G68" s="19" t="s">
        <v>132</v>
      </c>
      <c r="H68" s="19" t="s">
        <v>132</v>
      </c>
    </row>
    <row r="69" customFormat="false" ht="15" hidden="false" customHeight="false" outlineLevel="0" collapsed="false">
      <c r="A69" s="11"/>
      <c r="B69" s="11"/>
      <c r="C69" s="11" t="s">
        <v>133</v>
      </c>
      <c r="D69" s="16" t="s">
        <v>332</v>
      </c>
      <c r="E69" s="17" t="s">
        <v>332</v>
      </c>
      <c r="F69" s="18" t="s">
        <v>333</v>
      </c>
      <c r="G69" s="19" t="s">
        <v>334</v>
      </c>
      <c r="H69" s="19" t="s">
        <v>334</v>
      </c>
    </row>
    <row r="70" customFormat="false" ht="15" hidden="false" customHeight="false" outlineLevel="0" collapsed="false">
      <c r="A70" s="11"/>
      <c r="B70" s="11"/>
      <c r="C70" s="11" t="s">
        <v>137</v>
      </c>
      <c r="D70" s="16" t="s">
        <v>335</v>
      </c>
      <c r="E70" s="17" t="s">
        <v>335</v>
      </c>
      <c r="F70" s="18" t="s">
        <v>335</v>
      </c>
      <c r="G70" s="19" t="s">
        <v>287</v>
      </c>
      <c r="H70" s="19" t="s">
        <v>287</v>
      </c>
    </row>
    <row r="71" customFormat="false" ht="15" hidden="false" customHeight="false" outlineLevel="0" collapsed="false">
      <c r="A71" s="11"/>
      <c r="B71" s="11"/>
      <c r="C71" s="11" t="s">
        <v>139</v>
      </c>
      <c r="D71" s="16" t="s">
        <v>69</v>
      </c>
      <c r="E71" s="17" t="s">
        <v>336</v>
      </c>
      <c r="F71" s="18" t="s">
        <v>337</v>
      </c>
      <c r="G71" s="20" t="s">
        <v>338</v>
      </c>
      <c r="H71" s="19" t="s">
        <v>339</v>
      </c>
    </row>
    <row r="72" customFormat="false" ht="15" hidden="false" customHeight="false" outlineLevel="0" collapsed="false">
      <c r="A72" s="11"/>
      <c r="B72" s="11"/>
      <c r="C72" s="11" t="s">
        <v>144</v>
      </c>
      <c r="D72" s="16" t="s">
        <v>69</v>
      </c>
      <c r="E72" s="17" t="s">
        <v>70</v>
      </c>
      <c r="F72" s="18" t="s">
        <v>141</v>
      </c>
      <c r="G72" s="19" t="s">
        <v>340</v>
      </c>
      <c r="H72" s="19" t="s">
        <v>341</v>
      </c>
    </row>
    <row r="73" customFormat="false" ht="15" hidden="false" customHeight="false" outlineLevel="0" collapsed="false">
      <c r="A73" s="11"/>
      <c r="B73" s="11"/>
      <c r="C73" s="11" t="s">
        <v>148</v>
      </c>
      <c r="D73" s="16" t="s">
        <v>342</v>
      </c>
      <c r="E73" s="17" t="s">
        <v>343</v>
      </c>
      <c r="F73" s="18" t="s">
        <v>344</v>
      </c>
      <c r="G73" s="19" t="s">
        <v>345</v>
      </c>
      <c r="H73" s="19" t="s">
        <v>346</v>
      </c>
    </row>
    <row r="74" customFormat="false" ht="15" hidden="false" customHeight="false" outlineLevel="0" collapsed="false">
      <c r="A74" s="11"/>
      <c r="B74" s="11"/>
      <c r="C74" s="11" t="s">
        <v>154</v>
      </c>
      <c r="D74" s="16" t="s">
        <v>155</v>
      </c>
      <c r="E74" s="17" t="s">
        <v>347</v>
      </c>
      <c r="F74" s="18" t="s">
        <v>99</v>
      </c>
      <c r="G74" s="20" t="s">
        <v>157</v>
      </c>
      <c r="H74" s="20" t="s">
        <v>348</v>
      </c>
    </row>
    <row r="75" customFormat="false" ht="15" hidden="false" customHeight="false" outlineLevel="0" collapsed="false">
      <c r="A75" s="11"/>
      <c r="B75" s="11"/>
      <c r="C75" s="11" t="s">
        <v>159</v>
      </c>
      <c r="D75" s="16" t="s">
        <v>160</v>
      </c>
      <c r="E75" s="17" t="s">
        <v>349</v>
      </c>
      <c r="F75" s="18" t="s">
        <v>337</v>
      </c>
      <c r="G75" s="19" t="s">
        <v>350</v>
      </c>
      <c r="H75" s="19" t="s">
        <v>351</v>
      </c>
    </row>
    <row r="76" customFormat="false" ht="15" hidden="false" customHeight="false" outlineLevel="0" collapsed="false">
      <c r="A76" s="11"/>
      <c r="B76" s="11"/>
      <c r="C76" s="11" t="s">
        <v>165</v>
      </c>
      <c r="D76" s="16" t="s">
        <v>352</v>
      </c>
      <c r="E76" s="17" t="s">
        <v>353</v>
      </c>
      <c r="F76" s="18" t="s">
        <v>354</v>
      </c>
      <c r="G76" s="20" t="s">
        <v>355</v>
      </c>
      <c r="H76" s="20" t="s">
        <v>356</v>
      </c>
    </row>
    <row r="77" customFormat="false" ht="15" hidden="false" customHeight="false" outlineLevel="0" collapsed="false">
      <c r="A77" s="11"/>
      <c r="B77" s="11"/>
      <c r="C77" s="11" t="s">
        <v>171</v>
      </c>
      <c r="D77" s="16" t="s">
        <v>50</v>
      </c>
      <c r="E77" s="17" t="s">
        <v>71</v>
      </c>
      <c r="F77" s="18" t="s">
        <v>357</v>
      </c>
      <c r="G77" s="20" t="s">
        <v>358</v>
      </c>
      <c r="H77" s="20" t="s">
        <v>359</v>
      </c>
    </row>
    <row r="78" customFormat="false" ht="15" hidden="false" customHeight="false" outlineLevel="0" collapsed="false">
      <c r="A78" s="11"/>
      <c r="B78" s="11"/>
      <c r="C78" s="11" t="s">
        <v>174</v>
      </c>
      <c r="D78" s="16"/>
      <c r="E78" s="17" t="s">
        <v>360</v>
      </c>
      <c r="F78" s="18" t="s">
        <v>361</v>
      </c>
      <c r="G78" s="11" t="s">
        <v>177</v>
      </c>
      <c r="H78" s="19" t="s">
        <v>362</v>
      </c>
    </row>
    <row r="79" customFormat="false" ht="15" hidden="false" customHeight="false" outlineLevel="0" collapsed="false">
      <c r="A79" s="11"/>
      <c r="B79" s="11"/>
      <c r="C79" s="11" t="s">
        <v>179</v>
      </c>
      <c r="D79" s="16" t="s">
        <v>155</v>
      </c>
      <c r="E79" s="17" t="s">
        <v>363</v>
      </c>
      <c r="F79" s="18" t="s">
        <v>99</v>
      </c>
      <c r="G79" s="20" t="s">
        <v>157</v>
      </c>
      <c r="H79" s="19" t="s">
        <v>364</v>
      </c>
    </row>
    <row r="80" customFormat="false" ht="15" hidden="false" customHeight="false" outlineLevel="0" collapsed="false">
      <c r="A80" s="11"/>
      <c r="B80" s="11"/>
      <c r="C80" s="11" t="s">
        <v>182</v>
      </c>
      <c r="D80" s="16" t="s">
        <v>155</v>
      </c>
      <c r="E80" s="17" t="s">
        <v>365</v>
      </c>
      <c r="F80" s="18" t="s">
        <v>99</v>
      </c>
      <c r="G80" s="20" t="s">
        <v>157</v>
      </c>
      <c r="H80" s="19" t="s">
        <v>235</v>
      </c>
    </row>
    <row r="81" customFormat="false" ht="15" hidden="false" customHeight="false" outlineLevel="0" collapsed="false">
      <c r="A81" s="11"/>
      <c r="B81" s="11"/>
      <c r="C81" s="11" t="s">
        <v>185</v>
      </c>
      <c r="D81" s="16" t="s">
        <v>50</v>
      </c>
      <c r="E81" s="17" t="s">
        <v>366</v>
      </c>
      <c r="F81" s="18" t="s">
        <v>188</v>
      </c>
      <c r="G81" s="20" t="s">
        <v>367</v>
      </c>
      <c r="H81" s="20" t="s">
        <v>190</v>
      </c>
    </row>
    <row r="82" customFormat="false" ht="15" hidden="false" customHeight="false" outlineLevel="0" collapsed="false">
      <c r="A82" s="11"/>
      <c r="B82" s="11"/>
      <c r="C82" s="11" t="s">
        <v>191</v>
      </c>
      <c r="D82" s="16" t="s">
        <v>368</v>
      </c>
      <c r="E82" s="17" t="s">
        <v>369</v>
      </c>
      <c r="F82" s="18" t="s">
        <v>370</v>
      </c>
      <c r="G82" s="20" t="s">
        <v>371</v>
      </c>
      <c r="H82" s="20" t="s">
        <v>372</v>
      </c>
    </row>
    <row r="84" customFormat="false" ht="15" hidden="false" customHeight="false" outlineLevel="0" collapsed="false">
      <c r="A84" s="15" t="s">
        <v>13</v>
      </c>
      <c r="B84" s="11" t="s">
        <v>72</v>
      </c>
      <c r="C84" s="11" t="s">
        <v>129</v>
      </c>
      <c r="D84" s="16" t="s">
        <v>373</v>
      </c>
      <c r="E84" s="17" t="s">
        <v>373</v>
      </c>
      <c r="F84" s="18" t="s">
        <v>373</v>
      </c>
      <c r="G84" s="19" t="s">
        <v>132</v>
      </c>
      <c r="H84" s="19" t="s">
        <v>132</v>
      </c>
    </row>
    <row r="85" customFormat="false" ht="15" hidden="false" customHeight="false" outlineLevel="0" collapsed="false">
      <c r="A85" s="11"/>
      <c r="B85" s="11"/>
      <c r="C85" s="11" t="s">
        <v>133</v>
      </c>
      <c r="D85" s="16" t="s">
        <v>288</v>
      </c>
      <c r="E85" s="17" t="s">
        <v>288</v>
      </c>
      <c r="F85" s="18" t="s">
        <v>374</v>
      </c>
      <c r="G85" s="20" t="s">
        <v>375</v>
      </c>
      <c r="H85" s="20" t="s">
        <v>375</v>
      </c>
    </row>
    <row r="86" customFormat="false" ht="15" hidden="false" customHeight="false" outlineLevel="0" collapsed="false">
      <c r="A86" s="11"/>
      <c r="B86" s="11"/>
      <c r="C86" s="11" t="s">
        <v>137</v>
      </c>
      <c r="D86" s="16" t="s">
        <v>376</v>
      </c>
      <c r="E86" s="17" t="s">
        <v>376</v>
      </c>
      <c r="F86" s="18" t="s">
        <v>377</v>
      </c>
      <c r="G86" s="19" t="s">
        <v>378</v>
      </c>
      <c r="H86" s="19" t="s">
        <v>378</v>
      </c>
    </row>
    <row r="87" customFormat="false" ht="15" hidden="false" customHeight="false" outlineLevel="0" collapsed="false">
      <c r="A87" s="11"/>
      <c r="B87" s="11"/>
      <c r="C87" s="11" t="s">
        <v>139</v>
      </c>
      <c r="D87" s="16" t="s">
        <v>74</v>
      </c>
      <c r="E87" s="17" t="s">
        <v>250</v>
      </c>
      <c r="F87" s="18" t="s">
        <v>141</v>
      </c>
      <c r="G87" s="20" t="s">
        <v>379</v>
      </c>
      <c r="H87" s="19" t="s">
        <v>380</v>
      </c>
    </row>
    <row r="88" customFormat="false" ht="15" hidden="false" customHeight="false" outlineLevel="0" collapsed="false">
      <c r="A88" s="11"/>
      <c r="B88" s="11"/>
      <c r="C88" s="11" t="s">
        <v>144</v>
      </c>
      <c r="D88" s="16" t="s">
        <v>74</v>
      </c>
      <c r="E88" s="17" t="s">
        <v>75</v>
      </c>
      <c r="F88" s="18" t="s">
        <v>141</v>
      </c>
      <c r="G88" s="19" t="s">
        <v>379</v>
      </c>
      <c r="H88" s="19" t="s">
        <v>381</v>
      </c>
    </row>
    <row r="89" customFormat="false" ht="15" hidden="false" customHeight="false" outlineLevel="0" collapsed="false">
      <c r="A89" s="11"/>
      <c r="B89" s="11"/>
      <c r="C89" s="11" t="s">
        <v>148</v>
      </c>
      <c r="D89" s="16" t="s">
        <v>382</v>
      </c>
      <c r="E89" s="17" t="s">
        <v>383</v>
      </c>
      <c r="F89" s="18" t="s">
        <v>384</v>
      </c>
      <c r="G89" s="19" t="s">
        <v>385</v>
      </c>
      <c r="H89" s="19" t="s">
        <v>386</v>
      </c>
    </row>
    <row r="90" customFormat="false" ht="15" hidden="false" customHeight="false" outlineLevel="0" collapsed="false">
      <c r="A90" s="11"/>
      <c r="B90" s="11"/>
      <c r="C90" s="11" t="s">
        <v>154</v>
      </c>
      <c r="D90" s="16" t="s">
        <v>99</v>
      </c>
      <c r="E90" s="17" t="s">
        <v>387</v>
      </c>
      <c r="F90" s="18" t="s">
        <v>155</v>
      </c>
      <c r="G90" s="20" t="s">
        <v>216</v>
      </c>
      <c r="H90" s="19" t="s">
        <v>388</v>
      </c>
    </row>
    <row r="91" customFormat="false" ht="15" hidden="false" customHeight="false" outlineLevel="0" collapsed="false">
      <c r="A91" s="11"/>
      <c r="B91" s="11"/>
      <c r="C91" s="11" t="s">
        <v>159</v>
      </c>
      <c r="D91" s="16" t="s">
        <v>389</v>
      </c>
      <c r="E91" s="17" t="s">
        <v>390</v>
      </c>
      <c r="F91" s="18" t="s">
        <v>391</v>
      </c>
      <c r="G91" s="20" t="s">
        <v>392</v>
      </c>
      <c r="H91" s="19" t="s">
        <v>393</v>
      </c>
    </row>
    <row r="92" customFormat="false" ht="15" hidden="false" customHeight="false" outlineLevel="0" collapsed="false">
      <c r="A92" s="11"/>
      <c r="B92" s="11"/>
      <c r="C92" s="11" t="s">
        <v>165</v>
      </c>
      <c r="D92" s="16" t="s">
        <v>306</v>
      </c>
      <c r="E92" s="17" t="s">
        <v>394</v>
      </c>
      <c r="F92" s="18" t="s">
        <v>50</v>
      </c>
      <c r="G92" s="19" t="s">
        <v>395</v>
      </c>
      <c r="H92" s="20" t="s">
        <v>396</v>
      </c>
    </row>
    <row r="93" customFormat="false" ht="15" hidden="false" customHeight="false" outlineLevel="0" collapsed="false">
      <c r="A93" s="11"/>
      <c r="B93" s="11"/>
      <c r="C93" s="11" t="s">
        <v>171</v>
      </c>
      <c r="D93" s="16" t="s">
        <v>50</v>
      </c>
      <c r="E93" s="17" t="s">
        <v>76</v>
      </c>
      <c r="F93" s="18" t="s">
        <v>309</v>
      </c>
      <c r="G93" s="20" t="s">
        <v>397</v>
      </c>
      <c r="H93" s="19" t="s">
        <v>398</v>
      </c>
    </row>
    <row r="94" customFormat="false" ht="15" hidden="false" customHeight="false" outlineLevel="0" collapsed="false">
      <c r="A94" s="11"/>
      <c r="B94" s="11"/>
      <c r="C94" s="11" t="s">
        <v>174</v>
      </c>
      <c r="D94" s="16"/>
      <c r="E94" s="17" t="s">
        <v>399</v>
      </c>
      <c r="F94" s="18" t="s">
        <v>400</v>
      </c>
      <c r="G94" s="11" t="s">
        <v>177</v>
      </c>
      <c r="H94" s="19" t="s">
        <v>401</v>
      </c>
    </row>
    <row r="95" customFormat="false" ht="15" hidden="false" customHeight="false" outlineLevel="0" collapsed="false">
      <c r="A95" s="11"/>
      <c r="B95" s="11"/>
      <c r="C95" s="11" t="s">
        <v>179</v>
      </c>
      <c r="D95" s="16" t="s">
        <v>99</v>
      </c>
      <c r="E95" s="17" t="s">
        <v>402</v>
      </c>
      <c r="F95" s="18" t="s">
        <v>99</v>
      </c>
      <c r="G95" s="19" t="s">
        <v>233</v>
      </c>
      <c r="H95" s="19" t="s">
        <v>403</v>
      </c>
    </row>
    <row r="96" customFormat="false" ht="15" hidden="false" customHeight="false" outlineLevel="0" collapsed="false">
      <c r="A96" s="11"/>
      <c r="B96" s="11"/>
      <c r="C96" s="11" t="s">
        <v>182</v>
      </c>
      <c r="D96" s="16" t="s">
        <v>99</v>
      </c>
      <c r="E96" s="17" t="s">
        <v>404</v>
      </c>
      <c r="F96" s="18" t="s">
        <v>99</v>
      </c>
      <c r="G96" s="19" t="s">
        <v>233</v>
      </c>
      <c r="H96" s="19" t="s">
        <v>405</v>
      </c>
    </row>
    <row r="97" customFormat="false" ht="15" hidden="false" customHeight="false" outlineLevel="0" collapsed="false">
      <c r="A97" s="11"/>
      <c r="B97" s="11"/>
      <c r="C97" s="11" t="s">
        <v>185</v>
      </c>
      <c r="D97" s="16" t="s">
        <v>236</v>
      </c>
      <c r="E97" s="17" t="s">
        <v>406</v>
      </c>
      <c r="F97" s="18" t="s">
        <v>236</v>
      </c>
      <c r="G97" s="19" t="s">
        <v>238</v>
      </c>
      <c r="H97" s="20" t="s">
        <v>407</v>
      </c>
    </row>
    <row r="98" customFormat="false" ht="15" hidden="false" customHeight="false" outlineLevel="0" collapsed="false">
      <c r="A98" s="11"/>
      <c r="B98" s="11"/>
      <c r="C98" s="11" t="s">
        <v>191</v>
      </c>
      <c r="D98" s="16" t="s">
        <v>408</v>
      </c>
      <c r="E98" s="17" t="s">
        <v>409</v>
      </c>
      <c r="F98" s="18" t="s">
        <v>410</v>
      </c>
      <c r="G98" s="20" t="s">
        <v>411</v>
      </c>
      <c r="H98" s="20" t="s">
        <v>412</v>
      </c>
    </row>
    <row r="100" customFormat="false" ht="23.85" hidden="false" customHeight="false" outlineLevel="0" collapsed="false">
      <c r="A100" s="15" t="s">
        <v>14</v>
      </c>
      <c r="B100" s="11" t="s">
        <v>77</v>
      </c>
      <c r="C100" s="11" t="s">
        <v>129</v>
      </c>
      <c r="D100" s="16" t="s">
        <v>413</v>
      </c>
      <c r="E100" s="17" t="s">
        <v>413</v>
      </c>
      <c r="F100" s="18" t="s">
        <v>413</v>
      </c>
      <c r="G100" s="19" t="s">
        <v>414</v>
      </c>
      <c r="H100" s="19" t="s">
        <v>414</v>
      </c>
    </row>
    <row r="101" customFormat="false" ht="15" hidden="false" customHeight="false" outlineLevel="0" collapsed="false">
      <c r="A101" s="11"/>
      <c r="B101" s="11"/>
      <c r="C101" s="11" t="s">
        <v>133</v>
      </c>
      <c r="D101" s="16" t="s">
        <v>415</v>
      </c>
      <c r="E101" s="17" t="s">
        <v>415</v>
      </c>
      <c r="F101" s="18" t="s">
        <v>416</v>
      </c>
      <c r="G101" s="20" t="s">
        <v>417</v>
      </c>
      <c r="H101" s="20" t="s">
        <v>417</v>
      </c>
    </row>
    <row r="102" customFormat="false" ht="15" hidden="false" customHeight="false" outlineLevel="0" collapsed="false">
      <c r="A102" s="11"/>
      <c r="B102" s="11"/>
      <c r="C102" s="11" t="s">
        <v>137</v>
      </c>
      <c r="D102" s="16" t="s">
        <v>418</v>
      </c>
      <c r="E102" s="17" t="s">
        <v>418</v>
      </c>
      <c r="F102" s="18" t="s">
        <v>418</v>
      </c>
      <c r="G102" s="19" t="s">
        <v>419</v>
      </c>
      <c r="H102" s="19" t="s">
        <v>419</v>
      </c>
    </row>
    <row r="103" customFormat="false" ht="15" hidden="false" customHeight="false" outlineLevel="0" collapsed="false">
      <c r="A103" s="11"/>
      <c r="B103" s="11"/>
      <c r="C103" s="11" t="s">
        <v>139</v>
      </c>
      <c r="D103" s="16" t="s">
        <v>420</v>
      </c>
      <c r="E103" s="17" t="s">
        <v>421</v>
      </c>
      <c r="F103" s="18" t="s">
        <v>337</v>
      </c>
      <c r="G103" s="20" t="s">
        <v>422</v>
      </c>
      <c r="H103" s="19" t="s">
        <v>423</v>
      </c>
    </row>
    <row r="104" customFormat="false" ht="15" hidden="false" customHeight="false" outlineLevel="0" collapsed="false">
      <c r="A104" s="11"/>
      <c r="B104" s="11"/>
      <c r="C104" s="11" t="s">
        <v>144</v>
      </c>
      <c r="D104" s="16" t="s">
        <v>79</v>
      </c>
      <c r="E104" s="17" t="s">
        <v>80</v>
      </c>
      <c r="F104" s="18" t="s">
        <v>162</v>
      </c>
      <c r="G104" s="20" t="s">
        <v>424</v>
      </c>
      <c r="H104" s="19" t="s">
        <v>425</v>
      </c>
    </row>
    <row r="105" customFormat="false" ht="15" hidden="false" customHeight="false" outlineLevel="0" collapsed="false">
      <c r="A105" s="11"/>
      <c r="B105" s="11"/>
      <c r="C105" s="11" t="s">
        <v>148</v>
      </c>
      <c r="D105" s="16" t="s">
        <v>426</v>
      </c>
      <c r="E105" s="17" t="s">
        <v>427</v>
      </c>
      <c r="F105" s="18" t="s">
        <v>212</v>
      </c>
      <c r="G105" s="19" t="s">
        <v>428</v>
      </c>
      <c r="H105" s="19" t="s">
        <v>429</v>
      </c>
    </row>
    <row r="106" customFormat="false" ht="15" hidden="false" customHeight="false" outlineLevel="0" collapsed="false">
      <c r="A106" s="11"/>
      <c r="B106" s="11"/>
      <c r="C106" s="11" t="s">
        <v>154</v>
      </c>
      <c r="D106" s="16" t="s">
        <v>155</v>
      </c>
      <c r="E106" s="17" t="s">
        <v>430</v>
      </c>
      <c r="F106" s="18" t="s">
        <v>99</v>
      </c>
      <c r="G106" s="20" t="s">
        <v>157</v>
      </c>
      <c r="H106" s="20" t="s">
        <v>431</v>
      </c>
    </row>
    <row r="107" customFormat="false" ht="15" hidden="false" customHeight="false" outlineLevel="0" collapsed="false">
      <c r="A107" s="11"/>
      <c r="B107" s="11"/>
      <c r="C107" s="11" t="s">
        <v>159</v>
      </c>
      <c r="D107" s="16" t="s">
        <v>160</v>
      </c>
      <c r="E107" s="17" t="s">
        <v>432</v>
      </c>
      <c r="F107" s="18" t="s">
        <v>204</v>
      </c>
      <c r="G107" s="19" t="s">
        <v>433</v>
      </c>
      <c r="H107" s="19" t="s">
        <v>434</v>
      </c>
    </row>
    <row r="108" customFormat="false" ht="23.85" hidden="false" customHeight="false" outlineLevel="0" collapsed="false">
      <c r="A108" s="11"/>
      <c r="B108" s="11"/>
      <c r="C108" s="11" t="s">
        <v>165</v>
      </c>
      <c r="D108" s="16" t="s">
        <v>435</v>
      </c>
      <c r="E108" s="17" t="s">
        <v>436</v>
      </c>
      <c r="F108" s="18" t="s">
        <v>437</v>
      </c>
      <c r="G108" s="20" t="s">
        <v>438</v>
      </c>
      <c r="H108" s="20" t="s">
        <v>439</v>
      </c>
    </row>
    <row r="109" customFormat="false" ht="15" hidden="false" customHeight="false" outlineLevel="0" collapsed="false">
      <c r="A109" s="11"/>
      <c r="B109" s="11"/>
      <c r="C109" s="11" t="s">
        <v>171</v>
      </c>
      <c r="D109" s="16" t="s">
        <v>50</v>
      </c>
      <c r="E109" s="17" t="s">
        <v>81</v>
      </c>
      <c r="F109" s="18" t="s">
        <v>440</v>
      </c>
      <c r="G109" s="20" t="s">
        <v>441</v>
      </c>
      <c r="H109" s="20" t="s">
        <v>442</v>
      </c>
    </row>
    <row r="110" customFormat="false" ht="15" hidden="false" customHeight="false" outlineLevel="0" collapsed="false">
      <c r="A110" s="11"/>
      <c r="B110" s="11"/>
      <c r="C110" s="11" t="s">
        <v>174</v>
      </c>
      <c r="D110" s="16"/>
      <c r="E110" s="17" t="s">
        <v>443</v>
      </c>
      <c r="F110" s="18" t="s">
        <v>444</v>
      </c>
      <c r="G110" s="11" t="s">
        <v>177</v>
      </c>
      <c r="H110" s="19" t="s">
        <v>445</v>
      </c>
    </row>
    <row r="111" customFormat="false" ht="15" hidden="false" customHeight="false" outlineLevel="0" collapsed="false">
      <c r="A111" s="11"/>
      <c r="B111" s="11"/>
      <c r="C111" s="11" t="s">
        <v>179</v>
      </c>
      <c r="D111" s="16" t="s">
        <v>155</v>
      </c>
      <c r="E111" s="17" t="s">
        <v>446</v>
      </c>
      <c r="F111" s="18" t="s">
        <v>99</v>
      </c>
      <c r="G111" s="20" t="s">
        <v>157</v>
      </c>
      <c r="H111" s="20" t="s">
        <v>447</v>
      </c>
    </row>
    <row r="112" customFormat="false" ht="15" hidden="false" customHeight="false" outlineLevel="0" collapsed="false">
      <c r="A112" s="11"/>
      <c r="B112" s="11"/>
      <c r="C112" s="11" t="s">
        <v>182</v>
      </c>
      <c r="D112" s="16" t="s">
        <v>155</v>
      </c>
      <c r="E112" s="17" t="s">
        <v>448</v>
      </c>
      <c r="F112" s="18" t="s">
        <v>99</v>
      </c>
      <c r="G112" s="20" t="s">
        <v>157</v>
      </c>
      <c r="H112" s="19" t="s">
        <v>449</v>
      </c>
    </row>
    <row r="113" customFormat="false" ht="15" hidden="false" customHeight="false" outlineLevel="0" collapsed="false">
      <c r="A113" s="11"/>
      <c r="B113" s="11"/>
      <c r="C113" s="11" t="s">
        <v>185</v>
      </c>
      <c r="D113" s="16" t="s">
        <v>50</v>
      </c>
      <c r="E113" s="17" t="s">
        <v>450</v>
      </c>
      <c r="F113" s="18" t="s">
        <v>451</v>
      </c>
      <c r="G113" s="19" t="s">
        <v>452</v>
      </c>
      <c r="H113" s="19" t="s">
        <v>453</v>
      </c>
    </row>
    <row r="114" customFormat="false" ht="15" hidden="false" customHeight="false" outlineLevel="0" collapsed="false">
      <c r="A114" s="11"/>
      <c r="B114" s="11"/>
      <c r="C114" s="11" t="s">
        <v>191</v>
      </c>
      <c r="D114" s="16" t="s">
        <v>454</v>
      </c>
      <c r="E114" s="17" t="s">
        <v>455</v>
      </c>
      <c r="F114" s="18" t="s">
        <v>328</v>
      </c>
      <c r="G114" s="20" t="s">
        <v>456</v>
      </c>
      <c r="H114" s="19" t="s">
        <v>457</v>
      </c>
    </row>
    <row r="116" customFormat="false" ht="15" hidden="false" customHeight="false" outlineLevel="0" collapsed="false">
      <c r="A116" s="15" t="s">
        <v>15</v>
      </c>
      <c r="B116" s="11" t="s">
        <v>82</v>
      </c>
      <c r="C116" s="11" t="s">
        <v>129</v>
      </c>
      <c r="D116" s="16" t="s">
        <v>458</v>
      </c>
      <c r="E116" s="17" t="s">
        <v>458</v>
      </c>
      <c r="F116" s="18" t="s">
        <v>458</v>
      </c>
      <c r="G116" s="19" t="s">
        <v>287</v>
      </c>
      <c r="H116" s="19" t="s">
        <v>287</v>
      </c>
    </row>
    <row r="117" customFormat="false" ht="15" hidden="false" customHeight="false" outlineLevel="0" collapsed="false">
      <c r="A117" s="11"/>
      <c r="B117" s="11"/>
      <c r="C117" s="11" t="s">
        <v>133</v>
      </c>
      <c r="D117" s="16" t="s">
        <v>459</v>
      </c>
      <c r="E117" s="17" t="s">
        <v>459</v>
      </c>
      <c r="F117" s="18" t="s">
        <v>460</v>
      </c>
      <c r="G117" s="19" t="s">
        <v>461</v>
      </c>
      <c r="H117" s="19" t="s">
        <v>461</v>
      </c>
    </row>
    <row r="118" customFormat="false" ht="15" hidden="false" customHeight="false" outlineLevel="0" collapsed="false">
      <c r="A118" s="11"/>
      <c r="B118" s="11"/>
      <c r="C118" s="11" t="s">
        <v>137</v>
      </c>
      <c r="D118" s="16" t="s">
        <v>462</v>
      </c>
      <c r="E118" s="17" t="s">
        <v>462</v>
      </c>
      <c r="F118" s="18" t="s">
        <v>462</v>
      </c>
      <c r="G118" s="19" t="s">
        <v>463</v>
      </c>
      <c r="H118" s="19" t="s">
        <v>463</v>
      </c>
    </row>
    <row r="119" customFormat="false" ht="15" hidden="false" customHeight="false" outlineLevel="0" collapsed="false">
      <c r="A119" s="11"/>
      <c r="B119" s="11"/>
      <c r="C119" s="11" t="s">
        <v>139</v>
      </c>
      <c r="D119" s="16" t="s">
        <v>84</v>
      </c>
      <c r="E119" s="17" t="s">
        <v>464</v>
      </c>
      <c r="F119" s="18" t="s">
        <v>465</v>
      </c>
      <c r="G119" s="20" t="s">
        <v>466</v>
      </c>
      <c r="H119" s="19" t="s">
        <v>467</v>
      </c>
    </row>
    <row r="120" customFormat="false" ht="15" hidden="false" customHeight="false" outlineLevel="0" collapsed="false">
      <c r="A120" s="11"/>
      <c r="B120" s="11"/>
      <c r="C120" s="11" t="s">
        <v>144</v>
      </c>
      <c r="D120" s="16" t="s">
        <v>84</v>
      </c>
      <c r="E120" s="17" t="s">
        <v>85</v>
      </c>
      <c r="F120" s="18" t="s">
        <v>468</v>
      </c>
      <c r="G120" s="20" t="s">
        <v>469</v>
      </c>
      <c r="H120" s="20" t="s">
        <v>470</v>
      </c>
    </row>
    <row r="121" customFormat="false" ht="15" hidden="false" customHeight="false" outlineLevel="0" collapsed="false">
      <c r="A121" s="11"/>
      <c r="B121" s="11"/>
      <c r="C121" s="11" t="s">
        <v>148</v>
      </c>
      <c r="D121" s="16" t="s">
        <v>383</v>
      </c>
      <c r="E121" s="17" t="s">
        <v>471</v>
      </c>
      <c r="F121" s="18" t="s">
        <v>472</v>
      </c>
      <c r="G121" s="19" t="s">
        <v>473</v>
      </c>
      <c r="H121" s="19" t="s">
        <v>474</v>
      </c>
    </row>
    <row r="122" customFormat="false" ht="15" hidden="false" customHeight="false" outlineLevel="0" collapsed="false">
      <c r="A122" s="11"/>
      <c r="B122" s="11"/>
      <c r="C122" s="11" t="s">
        <v>154</v>
      </c>
      <c r="D122" s="16" t="s">
        <v>155</v>
      </c>
      <c r="E122" s="17" t="s">
        <v>475</v>
      </c>
      <c r="F122" s="18" t="s">
        <v>155</v>
      </c>
      <c r="G122" s="19" t="s">
        <v>476</v>
      </c>
      <c r="H122" s="19" t="s">
        <v>477</v>
      </c>
    </row>
    <row r="123" customFormat="false" ht="15" hidden="false" customHeight="false" outlineLevel="0" collapsed="false">
      <c r="A123" s="11"/>
      <c r="B123" s="11"/>
      <c r="C123" s="11" t="s">
        <v>159</v>
      </c>
      <c r="D123" s="16" t="s">
        <v>160</v>
      </c>
      <c r="E123" s="17" t="s">
        <v>478</v>
      </c>
      <c r="F123" s="18" t="s">
        <v>465</v>
      </c>
      <c r="G123" s="19" t="s">
        <v>479</v>
      </c>
      <c r="H123" s="19" t="s">
        <v>480</v>
      </c>
    </row>
    <row r="124" customFormat="false" ht="15" hidden="false" customHeight="false" outlineLevel="0" collapsed="false">
      <c r="A124" s="11"/>
      <c r="B124" s="11"/>
      <c r="C124" s="11" t="s">
        <v>165</v>
      </c>
      <c r="D124" s="16" t="s">
        <v>481</v>
      </c>
      <c r="E124" s="17" t="s">
        <v>482</v>
      </c>
      <c r="F124" s="18" t="s">
        <v>483</v>
      </c>
      <c r="G124" s="20" t="s">
        <v>484</v>
      </c>
      <c r="H124" s="20" t="s">
        <v>485</v>
      </c>
    </row>
    <row r="125" customFormat="false" ht="15" hidden="false" customHeight="false" outlineLevel="0" collapsed="false">
      <c r="A125" s="11"/>
      <c r="B125" s="11"/>
      <c r="C125" s="11" t="s">
        <v>171</v>
      </c>
      <c r="D125" s="16" t="s">
        <v>50</v>
      </c>
      <c r="E125" s="17" t="s">
        <v>86</v>
      </c>
      <c r="F125" s="18" t="s">
        <v>486</v>
      </c>
      <c r="G125" s="20" t="s">
        <v>487</v>
      </c>
      <c r="H125" s="19" t="s">
        <v>488</v>
      </c>
    </row>
    <row r="126" customFormat="false" ht="15" hidden="false" customHeight="false" outlineLevel="0" collapsed="false">
      <c r="A126" s="11"/>
      <c r="B126" s="11"/>
      <c r="C126" s="11" t="s">
        <v>174</v>
      </c>
      <c r="D126" s="16"/>
      <c r="E126" s="17" t="s">
        <v>472</v>
      </c>
      <c r="F126" s="18" t="s">
        <v>344</v>
      </c>
      <c r="G126" s="11" t="s">
        <v>177</v>
      </c>
      <c r="H126" s="19" t="s">
        <v>489</v>
      </c>
    </row>
    <row r="127" customFormat="false" ht="15" hidden="false" customHeight="false" outlineLevel="0" collapsed="false">
      <c r="A127" s="11"/>
      <c r="B127" s="11"/>
      <c r="C127" s="11" t="s">
        <v>179</v>
      </c>
      <c r="D127" s="16" t="s">
        <v>155</v>
      </c>
      <c r="E127" s="17" t="s">
        <v>490</v>
      </c>
      <c r="F127" s="18" t="s">
        <v>155</v>
      </c>
      <c r="G127" s="19" t="s">
        <v>476</v>
      </c>
      <c r="H127" s="19" t="s">
        <v>491</v>
      </c>
    </row>
    <row r="128" customFormat="false" ht="15" hidden="false" customHeight="false" outlineLevel="0" collapsed="false">
      <c r="A128" s="11"/>
      <c r="B128" s="11"/>
      <c r="C128" s="11" t="s">
        <v>182</v>
      </c>
      <c r="D128" s="16" t="s">
        <v>155</v>
      </c>
      <c r="E128" s="17" t="s">
        <v>492</v>
      </c>
      <c r="F128" s="18" t="s">
        <v>99</v>
      </c>
      <c r="G128" s="20" t="s">
        <v>157</v>
      </c>
      <c r="H128" s="19" t="s">
        <v>235</v>
      </c>
    </row>
    <row r="129" customFormat="false" ht="15" hidden="false" customHeight="false" outlineLevel="0" collapsed="false">
      <c r="A129" s="11"/>
      <c r="B129" s="11"/>
      <c r="C129" s="11" t="s">
        <v>185</v>
      </c>
      <c r="D129" s="16" t="s">
        <v>186</v>
      </c>
      <c r="E129" s="17" t="s">
        <v>493</v>
      </c>
      <c r="F129" s="18" t="s">
        <v>494</v>
      </c>
      <c r="G129" s="20" t="s">
        <v>495</v>
      </c>
      <c r="H129" s="19" t="s">
        <v>496</v>
      </c>
    </row>
    <row r="130" customFormat="false" ht="15" hidden="false" customHeight="false" outlineLevel="0" collapsed="false">
      <c r="A130" s="11"/>
      <c r="B130" s="11"/>
      <c r="C130" s="11" t="s">
        <v>191</v>
      </c>
      <c r="D130" s="16" t="s">
        <v>497</v>
      </c>
      <c r="E130" s="17" t="s">
        <v>498</v>
      </c>
      <c r="F130" s="18" t="s">
        <v>499</v>
      </c>
      <c r="G130" s="20" t="s">
        <v>500</v>
      </c>
      <c r="H130" s="20" t="s">
        <v>501</v>
      </c>
    </row>
    <row r="132" customFormat="false" ht="15" hidden="false" customHeight="false" outlineLevel="0" collapsed="false">
      <c r="A132" s="15" t="s">
        <v>16</v>
      </c>
      <c r="B132" s="11" t="s">
        <v>87</v>
      </c>
      <c r="C132" s="11" t="s">
        <v>129</v>
      </c>
      <c r="D132" s="16" t="s">
        <v>502</v>
      </c>
      <c r="E132" s="17" t="s">
        <v>502</v>
      </c>
      <c r="F132" s="18" t="s">
        <v>502</v>
      </c>
      <c r="G132" s="19" t="s">
        <v>287</v>
      </c>
      <c r="H132" s="19" t="s">
        <v>287</v>
      </c>
    </row>
    <row r="133" customFormat="false" ht="15" hidden="false" customHeight="false" outlineLevel="0" collapsed="false">
      <c r="A133" s="11"/>
      <c r="B133" s="11"/>
      <c r="C133" s="11" t="s">
        <v>133</v>
      </c>
      <c r="D133" s="16" t="s">
        <v>503</v>
      </c>
      <c r="E133" s="17" t="s">
        <v>503</v>
      </c>
      <c r="F133" s="18" t="s">
        <v>504</v>
      </c>
      <c r="G133" s="19" t="s">
        <v>505</v>
      </c>
      <c r="H133" s="19" t="s">
        <v>505</v>
      </c>
    </row>
    <row r="134" customFormat="false" ht="15" hidden="false" customHeight="false" outlineLevel="0" collapsed="false">
      <c r="A134" s="11"/>
      <c r="B134" s="11"/>
      <c r="C134" s="11" t="s">
        <v>137</v>
      </c>
      <c r="D134" s="16" t="s">
        <v>506</v>
      </c>
      <c r="E134" s="17" t="s">
        <v>506</v>
      </c>
      <c r="F134" s="18" t="s">
        <v>506</v>
      </c>
      <c r="G134" s="19" t="s">
        <v>507</v>
      </c>
      <c r="H134" s="19" t="s">
        <v>507</v>
      </c>
    </row>
    <row r="135" customFormat="false" ht="15" hidden="false" customHeight="false" outlineLevel="0" collapsed="false">
      <c r="A135" s="11"/>
      <c r="B135" s="11"/>
      <c r="C135" s="11" t="s">
        <v>139</v>
      </c>
      <c r="D135" s="16" t="s">
        <v>89</v>
      </c>
      <c r="E135" s="17" t="s">
        <v>336</v>
      </c>
      <c r="F135" s="18" t="s">
        <v>141</v>
      </c>
      <c r="G135" s="20" t="s">
        <v>508</v>
      </c>
      <c r="H135" s="19" t="s">
        <v>509</v>
      </c>
    </row>
    <row r="136" customFormat="false" ht="15" hidden="false" customHeight="false" outlineLevel="0" collapsed="false">
      <c r="A136" s="11"/>
      <c r="B136" s="11"/>
      <c r="C136" s="11" t="s">
        <v>144</v>
      </c>
      <c r="D136" s="16" t="s">
        <v>89</v>
      </c>
      <c r="E136" s="17" t="s">
        <v>90</v>
      </c>
      <c r="F136" s="18" t="s">
        <v>510</v>
      </c>
      <c r="G136" s="20" t="s">
        <v>511</v>
      </c>
      <c r="H136" s="20" t="s">
        <v>512</v>
      </c>
    </row>
    <row r="137" customFormat="false" ht="15" hidden="false" customHeight="false" outlineLevel="0" collapsed="false">
      <c r="A137" s="11"/>
      <c r="B137" s="11"/>
      <c r="C137" s="11" t="s">
        <v>148</v>
      </c>
      <c r="D137" s="16" t="s">
        <v>344</v>
      </c>
      <c r="E137" s="17" t="s">
        <v>513</v>
      </c>
      <c r="F137" s="18" t="s">
        <v>151</v>
      </c>
      <c r="G137" s="19" t="s">
        <v>514</v>
      </c>
      <c r="H137" s="19" t="s">
        <v>515</v>
      </c>
    </row>
    <row r="138" customFormat="false" ht="15" hidden="false" customHeight="false" outlineLevel="0" collapsed="false">
      <c r="A138" s="11"/>
      <c r="B138" s="11"/>
      <c r="C138" s="11" t="s">
        <v>154</v>
      </c>
      <c r="D138" s="16" t="s">
        <v>155</v>
      </c>
      <c r="E138" s="17" t="s">
        <v>516</v>
      </c>
      <c r="F138" s="18" t="s">
        <v>155</v>
      </c>
      <c r="G138" s="19" t="s">
        <v>476</v>
      </c>
      <c r="H138" s="19" t="s">
        <v>517</v>
      </c>
    </row>
    <row r="139" customFormat="false" ht="15" hidden="false" customHeight="false" outlineLevel="0" collapsed="false">
      <c r="A139" s="11"/>
      <c r="B139" s="11"/>
      <c r="C139" s="11" t="s">
        <v>159</v>
      </c>
      <c r="D139" s="16" t="s">
        <v>518</v>
      </c>
      <c r="E139" s="17" t="s">
        <v>519</v>
      </c>
      <c r="F139" s="18" t="s">
        <v>465</v>
      </c>
      <c r="G139" s="19" t="s">
        <v>520</v>
      </c>
      <c r="H139" s="19" t="s">
        <v>521</v>
      </c>
    </row>
    <row r="140" customFormat="false" ht="23.85" hidden="false" customHeight="false" outlineLevel="0" collapsed="false">
      <c r="A140" s="11"/>
      <c r="B140" s="11"/>
      <c r="C140" s="11" t="s">
        <v>165</v>
      </c>
      <c r="D140" s="16" t="s">
        <v>522</v>
      </c>
      <c r="E140" s="17" t="s">
        <v>523</v>
      </c>
      <c r="F140" s="18" t="s">
        <v>483</v>
      </c>
      <c r="G140" s="20" t="s">
        <v>524</v>
      </c>
      <c r="H140" s="20" t="s">
        <v>525</v>
      </c>
    </row>
    <row r="141" customFormat="false" ht="15" hidden="false" customHeight="false" outlineLevel="0" collapsed="false">
      <c r="A141" s="11"/>
      <c r="B141" s="11"/>
      <c r="C141" s="11" t="s">
        <v>171</v>
      </c>
      <c r="D141" s="16" t="s">
        <v>50</v>
      </c>
      <c r="E141" s="17" t="s">
        <v>91</v>
      </c>
      <c r="F141" s="18" t="s">
        <v>483</v>
      </c>
      <c r="G141" s="20" t="s">
        <v>526</v>
      </c>
      <c r="H141" s="20" t="s">
        <v>527</v>
      </c>
    </row>
    <row r="142" customFormat="false" ht="15" hidden="false" customHeight="false" outlineLevel="0" collapsed="false">
      <c r="A142" s="11"/>
      <c r="B142" s="11"/>
      <c r="C142" s="11" t="s">
        <v>174</v>
      </c>
      <c r="D142" s="16"/>
      <c r="E142" s="17" t="s">
        <v>528</v>
      </c>
      <c r="F142" s="18" t="s">
        <v>529</v>
      </c>
      <c r="G142" s="11" t="s">
        <v>177</v>
      </c>
      <c r="H142" s="19" t="s">
        <v>530</v>
      </c>
    </row>
    <row r="143" customFormat="false" ht="15" hidden="false" customHeight="false" outlineLevel="0" collapsed="false">
      <c r="A143" s="11"/>
      <c r="B143" s="11"/>
      <c r="C143" s="11" t="s">
        <v>179</v>
      </c>
      <c r="D143" s="16" t="s">
        <v>99</v>
      </c>
      <c r="E143" s="17" t="s">
        <v>531</v>
      </c>
      <c r="F143" s="18" t="s">
        <v>99</v>
      </c>
      <c r="G143" s="19" t="s">
        <v>233</v>
      </c>
      <c r="H143" s="20" t="s">
        <v>532</v>
      </c>
    </row>
    <row r="144" customFormat="false" ht="15" hidden="false" customHeight="false" outlineLevel="0" collapsed="false">
      <c r="A144" s="11"/>
      <c r="B144" s="11"/>
      <c r="C144" s="11" t="s">
        <v>182</v>
      </c>
      <c r="D144" s="16" t="s">
        <v>99</v>
      </c>
      <c r="E144" s="17" t="s">
        <v>533</v>
      </c>
      <c r="F144" s="18" t="s">
        <v>99</v>
      </c>
      <c r="G144" s="19" t="s">
        <v>233</v>
      </c>
      <c r="H144" s="19" t="s">
        <v>403</v>
      </c>
    </row>
    <row r="145" customFormat="false" ht="15" hidden="false" customHeight="false" outlineLevel="0" collapsed="false">
      <c r="A145" s="11"/>
      <c r="B145" s="11"/>
      <c r="C145" s="11" t="s">
        <v>185</v>
      </c>
      <c r="D145" s="16" t="s">
        <v>236</v>
      </c>
      <c r="E145" s="17" t="s">
        <v>534</v>
      </c>
      <c r="F145" s="18" t="s">
        <v>278</v>
      </c>
      <c r="G145" s="19" t="s">
        <v>535</v>
      </c>
      <c r="H145" s="19" t="s">
        <v>536</v>
      </c>
    </row>
    <row r="146" customFormat="false" ht="15" hidden="false" customHeight="false" outlineLevel="0" collapsed="false">
      <c r="A146" s="11"/>
      <c r="B146" s="11"/>
      <c r="C146" s="11" t="s">
        <v>191</v>
      </c>
      <c r="D146" s="16" t="s">
        <v>537</v>
      </c>
      <c r="E146" s="17" t="s">
        <v>538</v>
      </c>
      <c r="F146" s="18" t="s">
        <v>539</v>
      </c>
      <c r="G146" s="20" t="s">
        <v>540</v>
      </c>
      <c r="H146" s="20" t="s">
        <v>541</v>
      </c>
    </row>
    <row r="148" customFormat="false" ht="23.85" hidden="false" customHeight="false" outlineLevel="0" collapsed="false">
      <c r="A148" s="15" t="s">
        <v>17</v>
      </c>
      <c r="B148" s="11" t="s">
        <v>92</v>
      </c>
      <c r="C148" s="11" t="s">
        <v>129</v>
      </c>
      <c r="D148" s="16" t="s">
        <v>542</v>
      </c>
      <c r="E148" s="17" t="s">
        <v>542</v>
      </c>
      <c r="F148" s="18" t="s">
        <v>542</v>
      </c>
      <c r="G148" s="19" t="s">
        <v>287</v>
      </c>
      <c r="H148" s="19" t="s">
        <v>287</v>
      </c>
    </row>
    <row r="149" customFormat="false" ht="15" hidden="false" customHeight="false" outlineLevel="0" collapsed="false">
      <c r="A149" s="11"/>
      <c r="B149" s="11"/>
      <c r="C149" s="11" t="s">
        <v>133</v>
      </c>
      <c r="D149" s="16" t="s">
        <v>543</v>
      </c>
      <c r="E149" s="17" t="s">
        <v>543</v>
      </c>
      <c r="F149" s="18" t="s">
        <v>544</v>
      </c>
      <c r="G149" s="20" t="s">
        <v>545</v>
      </c>
      <c r="H149" s="20" t="s">
        <v>545</v>
      </c>
    </row>
    <row r="150" customFormat="false" ht="15" hidden="false" customHeight="false" outlineLevel="0" collapsed="false">
      <c r="A150" s="11"/>
      <c r="B150" s="11"/>
      <c r="C150" s="11" t="s">
        <v>137</v>
      </c>
      <c r="D150" s="16" t="s">
        <v>546</v>
      </c>
      <c r="E150" s="17" t="s">
        <v>546</v>
      </c>
      <c r="F150" s="18" t="s">
        <v>547</v>
      </c>
      <c r="G150" s="19" t="s">
        <v>548</v>
      </c>
      <c r="H150" s="19" t="s">
        <v>548</v>
      </c>
    </row>
    <row r="151" customFormat="false" ht="15" hidden="false" customHeight="false" outlineLevel="0" collapsed="false">
      <c r="A151" s="11"/>
      <c r="B151" s="11"/>
      <c r="C151" s="11" t="s">
        <v>139</v>
      </c>
      <c r="D151" s="16" t="s">
        <v>549</v>
      </c>
      <c r="E151" s="17" t="s">
        <v>160</v>
      </c>
      <c r="F151" s="18" t="s">
        <v>90</v>
      </c>
      <c r="G151" s="20" t="s">
        <v>550</v>
      </c>
      <c r="H151" s="19" t="s">
        <v>551</v>
      </c>
    </row>
    <row r="152" customFormat="false" ht="15" hidden="false" customHeight="false" outlineLevel="0" collapsed="false">
      <c r="A152" s="11"/>
      <c r="B152" s="11"/>
      <c r="C152" s="11" t="s">
        <v>144</v>
      </c>
      <c r="D152" s="16" t="s">
        <v>94</v>
      </c>
      <c r="E152" s="17" t="s">
        <v>95</v>
      </c>
      <c r="F152" s="18" t="s">
        <v>552</v>
      </c>
      <c r="G152" s="20" t="s">
        <v>553</v>
      </c>
      <c r="H152" s="20" t="s">
        <v>554</v>
      </c>
    </row>
    <row r="153" customFormat="false" ht="15" hidden="false" customHeight="false" outlineLevel="0" collapsed="false">
      <c r="A153" s="11"/>
      <c r="B153" s="11"/>
      <c r="C153" s="11" t="s">
        <v>148</v>
      </c>
      <c r="D153" s="16" t="s">
        <v>555</v>
      </c>
      <c r="E153" s="17" t="s">
        <v>556</v>
      </c>
      <c r="F153" s="18" t="s">
        <v>557</v>
      </c>
      <c r="G153" s="19" t="s">
        <v>558</v>
      </c>
      <c r="H153" s="19" t="s">
        <v>559</v>
      </c>
    </row>
    <row r="154" customFormat="false" ht="15" hidden="false" customHeight="false" outlineLevel="0" collapsed="false">
      <c r="A154" s="11"/>
      <c r="B154" s="11"/>
      <c r="C154" s="11" t="s">
        <v>154</v>
      </c>
      <c r="D154" s="16" t="s">
        <v>99</v>
      </c>
      <c r="E154" s="17" t="s">
        <v>560</v>
      </c>
      <c r="F154" s="18" t="s">
        <v>99</v>
      </c>
      <c r="G154" s="19" t="s">
        <v>233</v>
      </c>
      <c r="H154" s="19" t="s">
        <v>561</v>
      </c>
    </row>
    <row r="155" customFormat="false" ht="15" hidden="false" customHeight="false" outlineLevel="0" collapsed="false">
      <c r="A155" s="11"/>
      <c r="B155" s="11"/>
      <c r="C155" s="11" t="s">
        <v>159</v>
      </c>
      <c r="D155" s="16" t="s">
        <v>562</v>
      </c>
      <c r="E155" s="17" t="s">
        <v>563</v>
      </c>
      <c r="F155" s="18" t="s">
        <v>564</v>
      </c>
      <c r="G155" s="19" t="s">
        <v>565</v>
      </c>
      <c r="H155" s="19" t="s">
        <v>566</v>
      </c>
    </row>
    <row r="156" customFormat="false" ht="15" hidden="false" customHeight="false" outlineLevel="0" collapsed="false">
      <c r="A156" s="11"/>
      <c r="B156" s="11"/>
      <c r="C156" s="11" t="s">
        <v>165</v>
      </c>
      <c r="D156" s="16" t="s">
        <v>567</v>
      </c>
      <c r="E156" s="17" t="s">
        <v>568</v>
      </c>
      <c r="F156" s="18" t="s">
        <v>569</v>
      </c>
      <c r="G156" s="19" t="s">
        <v>570</v>
      </c>
      <c r="H156" s="20" t="s">
        <v>571</v>
      </c>
    </row>
    <row r="157" customFormat="false" ht="15" hidden="false" customHeight="false" outlineLevel="0" collapsed="false">
      <c r="A157" s="11"/>
      <c r="B157" s="11"/>
      <c r="C157" s="11" t="s">
        <v>171</v>
      </c>
      <c r="D157" s="16" t="s">
        <v>50</v>
      </c>
      <c r="E157" s="17" t="s">
        <v>96</v>
      </c>
      <c r="F157" s="18" t="s">
        <v>483</v>
      </c>
      <c r="G157" s="20" t="s">
        <v>526</v>
      </c>
      <c r="H157" s="20" t="s">
        <v>572</v>
      </c>
    </row>
    <row r="158" customFormat="false" ht="15" hidden="false" customHeight="false" outlineLevel="0" collapsed="false">
      <c r="A158" s="11"/>
      <c r="B158" s="11"/>
      <c r="C158" s="11" t="s">
        <v>174</v>
      </c>
      <c r="D158" s="16"/>
      <c r="E158" s="17" t="s">
        <v>573</v>
      </c>
      <c r="F158" s="18" t="s">
        <v>574</v>
      </c>
      <c r="G158" s="11" t="s">
        <v>177</v>
      </c>
      <c r="H158" s="19" t="s">
        <v>575</v>
      </c>
    </row>
    <row r="159" customFormat="false" ht="15" hidden="false" customHeight="false" outlineLevel="0" collapsed="false">
      <c r="A159" s="11"/>
      <c r="B159" s="11"/>
      <c r="C159" s="11" t="s">
        <v>179</v>
      </c>
      <c r="D159" s="16" t="s">
        <v>99</v>
      </c>
      <c r="E159" s="17" t="s">
        <v>366</v>
      </c>
      <c r="F159" s="18" t="s">
        <v>99</v>
      </c>
      <c r="G159" s="19" t="s">
        <v>233</v>
      </c>
      <c r="H159" s="20" t="s">
        <v>532</v>
      </c>
    </row>
    <row r="160" customFormat="false" ht="15" hidden="false" customHeight="false" outlineLevel="0" collapsed="false">
      <c r="A160" s="11"/>
      <c r="B160" s="11"/>
      <c r="C160" s="11" t="s">
        <v>182</v>
      </c>
      <c r="D160" s="16" t="s">
        <v>155</v>
      </c>
      <c r="E160" s="17" t="s">
        <v>576</v>
      </c>
      <c r="F160" s="18" t="s">
        <v>99</v>
      </c>
      <c r="G160" s="20" t="s">
        <v>157</v>
      </c>
      <c r="H160" s="19" t="s">
        <v>577</v>
      </c>
    </row>
    <row r="161" customFormat="false" ht="15" hidden="false" customHeight="false" outlineLevel="0" collapsed="false">
      <c r="A161" s="11"/>
      <c r="B161" s="11"/>
      <c r="C161" s="11" t="s">
        <v>185</v>
      </c>
      <c r="D161" s="16" t="s">
        <v>236</v>
      </c>
      <c r="E161" s="17" t="s">
        <v>578</v>
      </c>
      <c r="F161" s="18" t="s">
        <v>278</v>
      </c>
      <c r="G161" s="19" t="s">
        <v>535</v>
      </c>
      <c r="H161" s="20" t="s">
        <v>579</v>
      </c>
    </row>
    <row r="162" customFormat="false" ht="15" hidden="false" customHeight="false" outlineLevel="0" collapsed="false">
      <c r="A162" s="11"/>
      <c r="B162" s="11"/>
      <c r="C162" s="11" t="s">
        <v>191</v>
      </c>
      <c r="D162" s="16" t="s">
        <v>580</v>
      </c>
      <c r="E162" s="17" t="s">
        <v>581</v>
      </c>
      <c r="F162" s="18" t="s">
        <v>582</v>
      </c>
      <c r="G162" s="19" t="s">
        <v>583</v>
      </c>
      <c r="H162" s="20" t="s">
        <v>584</v>
      </c>
    </row>
    <row r="164" customFormat="false" ht="23.85" hidden="false" customHeight="false" outlineLevel="0" collapsed="false">
      <c r="A164" s="15" t="s">
        <v>18</v>
      </c>
      <c r="B164" s="11" t="s">
        <v>97</v>
      </c>
      <c r="C164" s="11" t="s">
        <v>129</v>
      </c>
      <c r="D164" s="16" t="s">
        <v>585</v>
      </c>
      <c r="E164" s="17" t="s">
        <v>585</v>
      </c>
      <c r="F164" s="18" t="s">
        <v>585</v>
      </c>
      <c r="G164" s="19" t="s">
        <v>507</v>
      </c>
      <c r="H164" s="19" t="s">
        <v>507</v>
      </c>
    </row>
    <row r="165" customFormat="false" ht="15" hidden="false" customHeight="false" outlineLevel="0" collapsed="false">
      <c r="A165" s="11"/>
      <c r="B165" s="11"/>
      <c r="C165" s="11" t="s">
        <v>133</v>
      </c>
      <c r="D165" s="16" t="s">
        <v>586</v>
      </c>
      <c r="E165" s="17" t="s">
        <v>586</v>
      </c>
      <c r="F165" s="18" t="s">
        <v>268</v>
      </c>
      <c r="G165" s="19" t="s">
        <v>587</v>
      </c>
      <c r="H165" s="19" t="s">
        <v>587</v>
      </c>
    </row>
    <row r="166" customFormat="false" ht="15" hidden="false" customHeight="false" outlineLevel="0" collapsed="false">
      <c r="A166" s="11"/>
      <c r="B166" s="11"/>
      <c r="C166" s="11" t="s">
        <v>137</v>
      </c>
      <c r="D166" s="16" t="s">
        <v>588</v>
      </c>
      <c r="E166" s="17" t="s">
        <v>588</v>
      </c>
      <c r="F166" s="18" t="s">
        <v>589</v>
      </c>
      <c r="G166" s="19" t="s">
        <v>590</v>
      </c>
      <c r="H166" s="19" t="s">
        <v>590</v>
      </c>
    </row>
    <row r="167" customFormat="false" ht="15" hidden="false" customHeight="false" outlineLevel="0" collapsed="false">
      <c r="A167" s="11"/>
      <c r="B167" s="11"/>
      <c r="C167" s="11" t="s">
        <v>139</v>
      </c>
      <c r="D167" s="16" t="s">
        <v>99</v>
      </c>
      <c r="E167" s="17" t="s">
        <v>141</v>
      </c>
      <c r="F167" s="18" t="s">
        <v>591</v>
      </c>
      <c r="G167" s="20" t="s">
        <v>592</v>
      </c>
      <c r="H167" s="20" t="s">
        <v>593</v>
      </c>
    </row>
    <row r="168" customFormat="false" ht="15" hidden="false" customHeight="false" outlineLevel="0" collapsed="false">
      <c r="A168" s="11"/>
      <c r="B168" s="11"/>
      <c r="C168" s="11" t="s">
        <v>144</v>
      </c>
      <c r="D168" s="16" t="s">
        <v>99</v>
      </c>
      <c r="E168" s="17" t="s">
        <v>100</v>
      </c>
      <c r="F168" s="18" t="s">
        <v>268</v>
      </c>
      <c r="G168" s="20" t="s">
        <v>594</v>
      </c>
      <c r="H168" s="20" t="s">
        <v>595</v>
      </c>
    </row>
    <row r="169" customFormat="false" ht="15" hidden="false" customHeight="false" outlineLevel="0" collapsed="false">
      <c r="A169" s="11"/>
      <c r="B169" s="11"/>
      <c r="C169" s="11" t="s">
        <v>148</v>
      </c>
      <c r="D169" s="16" t="s">
        <v>596</v>
      </c>
      <c r="E169" s="17" t="s">
        <v>597</v>
      </c>
      <c r="F169" s="18" t="s">
        <v>303</v>
      </c>
      <c r="G169" s="19" t="s">
        <v>598</v>
      </c>
      <c r="H169" s="19" t="s">
        <v>599</v>
      </c>
    </row>
    <row r="170" customFormat="false" ht="15" hidden="false" customHeight="false" outlineLevel="0" collapsed="false">
      <c r="A170" s="11"/>
      <c r="B170" s="11"/>
      <c r="C170" s="11" t="s">
        <v>154</v>
      </c>
      <c r="D170" s="16" t="s">
        <v>99</v>
      </c>
      <c r="E170" s="17" t="s">
        <v>600</v>
      </c>
      <c r="F170" s="18" t="s">
        <v>99</v>
      </c>
      <c r="G170" s="19" t="s">
        <v>233</v>
      </c>
      <c r="H170" s="19" t="s">
        <v>601</v>
      </c>
    </row>
    <row r="171" customFormat="false" ht="15" hidden="false" customHeight="false" outlineLevel="0" collapsed="false">
      <c r="A171" s="11"/>
      <c r="B171" s="11"/>
      <c r="C171" s="11" t="s">
        <v>159</v>
      </c>
      <c r="D171" s="16" t="s">
        <v>160</v>
      </c>
      <c r="E171" s="17" t="s">
        <v>602</v>
      </c>
      <c r="F171" s="18" t="s">
        <v>603</v>
      </c>
      <c r="G171" s="19" t="s">
        <v>604</v>
      </c>
      <c r="H171" s="19" t="s">
        <v>605</v>
      </c>
    </row>
    <row r="172" customFormat="false" ht="23.85" hidden="false" customHeight="false" outlineLevel="0" collapsed="false">
      <c r="A172" s="11"/>
      <c r="B172" s="11"/>
      <c r="C172" s="11" t="s">
        <v>165</v>
      </c>
      <c r="D172" s="16" t="s">
        <v>606</v>
      </c>
      <c r="E172" s="17" t="s">
        <v>607</v>
      </c>
      <c r="F172" s="18" t="s">
        <v>155</v>
      </c>
      <c r="G172" s="20" t="s">
        <v>608</v>
      </c>
      <c r="H172" s="20" t="s">
        <v>609</v>
      </c>
    </row>
    <row r="173" customFormat="false" ht="15" hidden="false" customHeight="false" outlineLevel="0" collapsed="false">
      <c r="A173" s="11"/>
      <c r="B173" s="11"/>
      <c r="C173" s="11" t="s">
        <v>171</v>
      </c>
      <c r="D173" s="16" t="s">
        <v>50</v>
      </c>
      <c r="E173" s="17" t="s">
        <v>101</v>
      </c>
      <c r="F173" s="18" t="s">
        <v>155</v>
      </c>
      <c r="G173" s="19" t="s">
        <v>610</v>
      </c>
      <c r="H173" s="20" t="s">
        <v>611</v>
      </c>
    </row>
    <row r="174" customFormat="false" ht="15" hidden="false" customHeight="false" outlineLevel="0" collapsed="false">
      <c r="A174" s="11"/>
      <c r="B174" s="11"/>
      <c r="C174" s="11" t="s">
        <v>174</v>
      </c>
      <c r="D174" s="16"/>
      <c r="E174" s="17" t="s">
        <v>612</v>
      </c>
      <c r="F174" s="18" t="s">
        <v>613</v>
      </c>
      <c r="G174" s="11" t="s">
        <v>177</v>
      </c>
      <c r="H174" s="19" t="s">
        <v>514</v>
      </c>
    </row>
    <row r="175" customFormat="false" ht="15" hidden="false" customHeight="false" outlineLevel="0" collapsed="false">
      <c r="A175" s="11"/>
      <c r="B175" s="11"/>
      <c r="C175" s="11" t="s">
        <v>179</v>
      </c>
      <c r="D175" s="16" t="s">
        <v>99</v>
      </c>
      <c r="E175" s="17" t="s">
        <v>614</v>
      </c>
      <c r="F175" s="18" t="s">
        <v>99</v>
      </c>
      <c r="G175" s="19" t="s">
        <v>233</v>
      </c>
      <c r="H175" s="20" t="s">
        <v>615</v>
      </c>
    </row>
    <row r="176" customFormat="false" ht="15" hidden="false" customHeight="false" outlineLevel="0" collapsed="false">
      <c r="A176" s="11"/>
      <c r="B176" s="11"/>
      <c r="C176" s="11" t="s">
        <v>182</v>
      </c>
      <c r="D176" s="16" t="s">
        <v>155</v>
      </c>
      <c r="E176" s="17" t="s">
        <v>616</v>
      </c>
      <c r="F176" s="18" t="s">
        <v>99</v>
      </c>
      <c r="G176" s="20" t="s">
        <v>157</v>
      </c>
      <c r="H176" s="19" t="s">
        <v>158</v>
      </c>
    </row>
    <row r="177" customFormat="false" ht="15" hidden="false" customHeight="false" outlineLevel="0" collapsed="false">
      <c r="A177" s="11"/>
      <c r="B177" s="11"/>
      <c r="C177" s="11" t="s">
        <v>185</v>
      </c>
      <c r="D177" s="16" t="s">
        <v>236</v>
      </c>
      <c r="E177" s="17" t="s">
        <v>617</v>
      </c>
      <c r="F177" s="18" t="s">
        <v>188</v>
      </c>
      <c r="G177" s="19" t="s">
        <v>618</v>
      </c>
      <c r="H177" s="20" t="s">
        <v>619</v>
      </c>
    </row>
    <row r="178" customFormat="false" ht="15" hidden="false" customHeight="false" outlineLevel="0" collapsed="false">
      <c r="A178" s="11"/>
      <c r="B178" s="11"/>
      <c r="C178" s="11" t="s">
        <v>191</v>
      </c>
      <c r="D178" s="16" t="s">
        <v>620</v>
      </c>
      <c r="E178" s="17" t="s">
        <v>621</v>
      </c>
      <c r="F178" s="18" t="s">
        <v>622</v>
      </c>
      <c r="G178" s="19" t="s">
        <v>623</v>
      </c>
      <c r="H178" s="20" t="s">
        <v>624</v>
      </c>
    </row>
    <row r="180" customFormat="false" ht="35.05" hidden="false" customHeight="false" outlineLevel="0" collapsed="false">
      <c r="A180" s="15" t="s">
        <v>20</v>
      </c>
      <c r="B180" s="11" t="s">
        <v>102</v>
      </c>
      <c r="C180" s="11" t="s">
        <v>129</v>
      </c>
      <c r="D180" s="16" t="s">
        <v>625</v>
      </c>
      <c r="E180" s="17" t="s">
        <v>625</v>
      </c>
      <c r="F180" s="18" t="s">
        <v>625</v>
      </c>
      <c r="G180" s="19" t="s">
        <v>626</v>
      </c>
      <c r="H180" s="19" t="s">
        <v>626</v>
      </c>
    </row>
    <row r="181" customFormat="false" ht="15" hidden="false" customHeight="false" outlineLevel="0" collapsed="false">
      <c r="A181" s="11"/>
      <c r="B181" s="11"/>
      <c r="C181" s="11" t="s">
        <v>133</v>
      </c>
      <c r="D181" s="16" t="s">
        <v>627</v>
      </c>
      <c r="E181" s="17" t="s">
        <v>627</v>
      </c>
      <c r="F181" s="18" t="s">
        <v>628</v>
      </c>
      <c r="G181" s="20" t="s">
        <v>629</v>
      </c>
      <c r="H181" s="20" t="s">
        <v>629</v>
      </c>
    </row>
    <row r="182" customFormat="false" ht="15" hidden="false" customHeight="false" outlineLevel="0" collapsed="false">
      <c r="A182" s="11"/>
      <c r="B182" s="11"/>
      <c r="C182" s="11" t="s">
        <v>137</v>
      </c>
      <c r="D182" s="16" t="s">
        <v>630</v>
      </c>
      <c r="E182" s="17" t="s">
        <v>630</v>
      </c>
      <c r="F182" s="18" t="s">
        <v>631</v>
      </c>
      <c r="G182" s="19" t="s">
        <v>632</v>
      </c>
      <c r="H182" s="19" t="s">
        <v>632</v>
      </c>
    </row>
    <row r="183" customFormat="false" ht="15" hidden="false" customHeight="false" outlineLevel="0" collapsed="false">
      <c r="A183" s="11"/>
      <c r="B183" s="11"/>
      <c r="C183" s="11" t="s">
        <v>139</v>
      </c>
      <c r="D183" s="16" t="s">
        <v>633</v>
      </c>
      <c r="E183" s="17" t="s">
        <v>634</v>
      </c>
      <c r="F183" s="18" t="s">
        <v>465</v>
      </c>
      <c r="G183" s="20" t="s">
        <v>635</v>
      </c>
      <c r="H183" s="19" t="s">
        <v>636</v>
      </c>
    </row>
    <row r="184" customFormat="false" ht="15" hidden="false" customHeight="false" outlineLevel="0" collapsed="false">
      <c r="A184" s="11"/>
      <c r="B184" s="11"/>
      <c r="C184" s="11" t="s">
        <v>144</v>
      </c>
      <c r="D184" s="16" t="s">
        <v>104</v>
      </c>
      <c r="E184" s="17" t="s">
        <v>105</v>
      </c>
      <c r="F184" s="18" t="s">
        <v>295</v>
      </c>
      <c r="G184" s="20" t="s">
        <v>637</v>
      </c>
      <c r="H184" s="19" t="s">
        <v>638</v>
      </c>
    </row>
    <row r="185" customFormat="false" ht="15" hidden="false" customHeight="false" outlineLevel="0" collapsed="false">
      <c r="A185" s="11"/>
      <c r="B185" s="11"/>
      <c r="C185" s="11" t="s">
        <v>148</v>
      </c>
      <c r="D185" s="16" t="s">
        <v>301</v>
      </c>
      <c r="E185" s="17" t="s">
        <v>639</v>
      </c>
      <c r="F185" s="18" t="s">
        <v>640</v>
      </c>
      <c r="G185" s="19" t="s">
        <v>641</v>
      </c>
      <c r="H185" s="19" t="s">
        <v>642</v>
      </c>
    </row>
    <row r="186" customFormat="false" ht="15" hidden="false" customHeight="false" outlineLevel="0" collapsed="false">
      <c r="A186" s="11"/>
      <c r="B186" s="11"/>
      <c r="C186" s="11" t="s">
        <v>154</v>
      </c>
      <c r="D186" s="16" t="s">
        <v>99</v>
      </c>
      <c r="E186" s="17" t="s">
        <v>406</v>
      </c>
      <c r="F186" s="18" t="s">
        <v>99</v>
      </c>
      <c r="G186" s="19" t="s">
        <v>233</v>
      </c>
      <c r="H186" s="20" t="s">
        <v>643</v>
      </c>
    </row>
    <row r="187" customFormat="false" ht="15" hidden="false" customHeight="false" outlineLevel="0" collapsed="false">
      <c r="A187" s="11"/>
      <c r="B187" s="11"/>
      <c r="C187" s="11" t="s">
        <v>159</v>
      </c>
      <c r="D187" s="16" t="s">
        <v>644</v>
      </c>
      <c r="E187" s="17" t="s">
        <v>645</v>
      </c>
      <c r="F187" s="18" t="s">
        <v>646</v>
      </c>
      <c r="G187" s="19" t="s">
        <v>647</v>
      </c>
      <c r="H187" s="19" t="s">
        <v>648</v>
      </c>
    </row>
    <row r="188" customFormat="false" ht="15" hidden="false" customHeight="false" outlineLevel="0" collapsed="false">
      <c r="A188" s="11"/>
      <c r="B188" s="11"/>
      <c r="C188" s="11" t="s">
        <v>165</v>
      </c>
      <c r="D188" s="16" t="s">
        <v>649</v>
      </c>
      <c r="E188" s="17" t="s">
        <v>650</v>
      </c>
      <c r="F188" s="18" t="s">
        <v>155</v>
      </c>
      <c r="G188" s="20" t="s">
        <v>651</v>
      </c>
      <c r="H188" s="20" t="s">
        <v>652</v>
      </c>
    </row>
    <row r="189" customFormat="false" ht="15" hidden="false" customHeight="false" outlineLevel="0" collapsed="false">
      <c r="A189" s="11"/>
      <c r="B189" s="11"/>
      <c r="C189" s="11" t="s">
        <v>171</v>
      </c>
      <c r="D189" s="16" t="s">
        <v>50</v>
      </c>
      <c r="E189" s="17" t="s">
        <v>106</v>
      </c>
      <c r="F189" s="18" t="s">
        <v>486</v>
      </c>
      <c r="G189" s="20" t="s">
        <v>487</v>
      </c>
      <c r="H189" s="20" t="s">
        <v>653</v>
      </c>
    </row>
    <row r="190" customFormat="false" ht="15" hidden="false" customHeight="false" outlineLevel="0" collapsed="false">
      <c r="A190" s="11"/>
      <c r="B190" s="11"/>
      <c r="C190" s="11" t="s">
        <v>174</v>
      </c>
      <c r="D190" s="16"/>
      <c r="E190" s="17" t="s">
        <v>654</v>
      </c>
      <c r="F190" s="18" t="s">
        <v>361</v>
      </c>
      <c r="G190" s="11" t="s">
        <v>177</v>
      </c>
      <c r="H190" s="19" t="s">
        <v>655</v>
      </c>
    </row>
    <row r="191" customFormat="false" ht="15" hidden="false" customHeight="false" outlineLevel="0" collapsed="false">
      <c r="A191" s="11"/>
      <c r="B191" s="11"/>
      <c r="C191" s="11" t="s">
        <v>179</v>
      </c>
      <c r="D191" s="16" t="s">
        <v>99</v>
      </c>
      <c r="E191" s="17" t="s">
        <v>656</v>
      </c>
      <c r="F191" s="18" t="s">
        <v>99</v>
      </c>
      <c r="G191" s="19" t="s">
        <v>233</v>
      </c>
      <c r="H191" s="20" t="s">
        <v>657</v>
      </c>
    </row>
    <row r="192" customFormat="false" ht="15" hidden="false" customHeight="false" outlineLevel="0" collapsed="false">
      <c r="A192" s="11"/>
      <c r="B192" s="11"/>
      <c r="C192" s="11" t="s">
        <v>182</v>
      </c>
      <c r="D192" s="16" t="s">
        <v>99</v>
      </c>
      <c r="E192" s="17" t="s">
        <v>658</v>
      </c>
      <c r="F192" s="18" t="s">
        <v>99</v>
      </c>
      <c r="G192" s="19" t="s">
        <v>233</v>
      </c>
      <c r="H192" s="19" t="s">
        <v>659</v>
      </c>
    </row>
    <row r="193" customFormat="false" ht="15" hidden="false" customHeight="false" outlineLevel="0" collapsed="false">
      <c r="A193" s="11"/>
      <c r="B193" s="11"/>
      <c r="C193" s="11" t="s">
        <v>185</v>
      </c>
      <c r="D193" s="16" t="s">
        <v>236</v>
      </c>
      <c r="E193" s="17" t="s">
        <v>660</v>
      </c>
      <c r="F193" s="18" t="s">
        <v>278</v>
      </c>
      <c r="G193" s="19" t="s">
        <v>535</v>
      </c>
      <c r="H193" s="19" t="s">
        <v>661</v>
      </c>
    </row>
    <row r="194" customFormat="false" ht="15" hidden="false" customHeight="false" outlineLevel="0" collapsed="false">
      <c r="A194" s="11"/>
      <c r="B194" s="11"/>
      <c r="C194" s="11" t="s">
        <v>191</v>
      </c>
      <c r="D194" s="16" t="s">
        <v>662</v>
      </c>
      <c r="E194" s="17" t="s">
        <v>663</v>
      </c>
      <c r="F194" s="18" t="s">
        <v>582</v>
      </c>
      <c r="G194" s="19" t="s">
        <v>664</v>
      </c>
      <c r="H194" s="20" t="s">
        <v>665</v>
      </c>
    </row>
    <row r="196" customFormat="false" ht="15" hidden="false" customHeight="false" outlineLevel="0" collapsed="false">
      <c r="A196" s="15" t="s">
        <v>21</v>
      </c>
      <c r="B196" s="11" t="s">
        <v>107</v>
      </c>
      <c r="C196" s="11" t="s">
        <v>129</v>
      </c>
      <c r="D196" s="16" t="s">
        <v>666</v>
      </c>
      <c r="E196" s="17" t="s">
        <v>666</v>
      </c>
      <c r="F196" s="18" t="s">
        <v>666</v>
      </c>
      <c r="G196" s="19" t="s">
        <v>287</v>
      </c>
      <c r="H196" s="19" t="s">
        <v>287</v>
      </c>
    </row>
    <row r="197" customFormat="false" ht="15" hidden="false" customHeight="false" outlineLevel="0" collapsed="false">
      <c r="A197" s="11"/>
      <c r="B197" s="11"/>
      <c r="C197" s="11" t="s">
        <v>133</v>
      </c>
      <c r="D197" s="16" t="s">
        <v>667</v>
      </c>
      <c r="E197" s="17" t="s">
        <v>667</v>
      </c>
      <c r="F197" s="18" t="s">
        <v>268</v>
      </c>
      <c r="G197" s="19" t="s">
        <v>668</v>
      </c>
      <c r="H197" s="19" t="s">
        <v>668</v>
      </c>
    </row>
    <row r="198" customFormat="false" ht="15" hidden="false" customHeight="false" outlineLevel="0" collapsed="false">
      <c r="A198" s="11"/>
      <c r="B198" s="11"/>
      <c r="C198" s="11" t="s">
        <v>137</v>
      </c>
      <c r="D198" s="16" t="s">
        <v>468</v>
      </c>
      <c r="E198" s="17" t="s">
        <v>468</v>
      </c>
      <c r="F198" s="18" t="s">
        <v>669</v>
      </c>
      <c r="G198" s="19" t="s">
        <v>670</v>
      </c>
      <c r="H198" s="19" t="s">
        <v>670</v>
      </c>
    </row>
    <row r="199" customFormat="false" ht="15" hidden="false" customHeight="false" outlineLevel="0" collapsed="false">
      <c r="A199" s="11"/>
      <c r="B199" s="11"/>
      <c r="C199" s="11" t="s">
        <v>139</v>
      </c>
      <c r="D199" s="16" t="s">
        <v>109</v>
      </c>
      <c r="E199" s="17" t="s">
        <v>336</v>
      </c>
      <c r="F199" s="18" t="s">
        <v>141</v>
      </c>
      <c r="G199" s="19" t="s">
        <v>671</v>
      </c>
      <c r="H199" s="19" t="s">
        <v>672</v>
      </c>
    </row>
    <row r="200" customFormat="false" ht="15" hidden="false" customHeight="false" outlineLevel="0" collapsed="false">
      <c r="A200" s="11"/>
      <c r="B200" s="11"/>
      <c r="C200" s="11" t="s">
        <v>144</v>
      </c>
      <c r="D200" s="16" t="s">
        <v>109</v>
      </c>
      <c r="E200" s="17" t="s">
        <v>110</v>
      </c>
      <c r="F200" s="18" t="s">
        <v>673</v>
      </c>
      <c r="G200" s="19" t="s">
        <v>674</v>
      </c>
      <c r="H200" s="19" t="s">
        <v>675</v>
      </c>
    </row>
    <row r="201" customFormat="false" ht="15" hidden="false" customHeight="false" outlineLevel="0" collapsed="false">
      <c r="A201" s="11"/>
      <c r="B201" s="11"/>
      <c r="C201" s="11" t="s">
        <v>148</v>
      </c>
      <c r="D201" s="16" t="s">
        <v>676</v>
      </c>
      <c r="E201" s="17" t="s">
        <v>677</v>
      </c>
      <c r="F201" s="18" t="s">
        <v>472</v>
      </c>
      <c r="G201" s="19" t="s">
        <v>678</v>
      </c>
      <c r="H201" s="19" t="s">
        <v>679</v>
      </c>
    </row>
    <row r="202" customFormat="false" ht="15" hidden="false" customHeight="false" outlineLevel="0" collapsed="false">
      <c r="A202" s="11"/>
      <c r="B202" s="11"/>
      <c r="C202" s="11" t="s">
        <v>154</v>
      </c>
      <c r="D202" s="16" t="s">
        <v>155</v>
      </c>
      <c r="E202" s="17" t="s">
        <v>680</v>
      </c>
      <c r="F202" s="18" t="s">
        <v>155</v>
      </c>
      <c r="G202" s="19" t="s">
        <v>476</v>
      </c>
      <c r="H202" s="19" t="s">
        <v>491</v>
      </c>
    </row>
    <row r="203" customFormat="false" ht="15" hidden="false" customHeight="false" outlineLevel="0" collapsed="false">
      <c r="A203" s="11"/>
      <c r="B203" s="11"/>
      <c r="C203" s="11" t="s">
        <v>159</v>
      </c>
      <c r="D203" s="16" t="s">
        <v>681</v>
      </c>
      <c r="E203" s="17" t="s">
        <v>682</v>
      </c>
      <c r="F203" s="18" t="s">
        <v>683</v>
      </c>
      <c r="G203" s="20" t="s">
        <v>684</v>
      </c>
      <c r="H203" s="19" t="s">
        <v>685</v>
      </c>
    </row>
    <row r="204" customFormat="false" ht="15" hidden="false" customHeight="false" outlineLevel="0" collapsed="false">
      <c r="A204" s="11"/>
      <c r="B204" s="11"/>
      <c r="C204" s="11" t="s">
        <v>165</v>
      </c>
      <c r="D204" s="16" t="s">
        <v>352</v>
      </c>
      <c r="E204" s="17" t="s">
        <v>99</v>
      </c>
      <c r="F204" s="18" t="s">
        <v>451</v>
      </c>
      <c r="G204" s="19" t="s">
        <v>686</v>
      </c>
      <c r="H204" s="20" t="s">
        <v>687</v>
      </c>
    </row>
    <row r="205" customFormat="false" ht="15" hidden="false" customHeight="false" outlineLevel="0" collapsed="false">
      <c r="A205" s="11"/>
      <c r="B205" s="11"/>
      <c r="C205" s="11" t="s">
        <v>171</v>
      </c>
      <c r="D205" s="16" t="s">
        <v>50</v>
      </c>
      <c r="E205" s="17" t="s">
        <v>111</v>
      </c>
      <c r="F205" s="18" t="s">
        <v>688</v>
      </c>
      <c r="G205" s="20" t="s">
        <v>689</v>
      </c>
      <c r="H205" s="20" t="s">
        <v>690</v>
      </c>
    </row>
    <row r="206" customFormat="false" ht="15" hidden="false" customHeight="false" outlineLevel="0" collapsed="false">
      <c r="A206" s="11"/>
      <c r="B206" s="11"/>
      <c r="C206" s="11" t="s">
        <v>174</v>
      </c>
      <c r="D206" s="16"/>
      <c r="E206" s="17" t="s">
        <v>691</v>
      </c>
      <c r="F206" s="18" t="s">
        <v>692</v>
      </c>
      <c r="G206" s="11" t="s">
        <v>177</v>
      </c>
      <c r="H206" s="19" t="s">
        <v>693</v>
      </c>
    </row>
    <row r="207" customFormat="false" ht="15" hidden="false" customHeight="false" outlineLevel="0" collapsed="false">
      <c r="A207" s="11"/>
      <c r="B207" s="11"/>
      <c r="C207" s="11" t="s">
        <v>179</v>
      </c>
      <c r="D207" s="16" t="s">
        <v>99</v>
      </c>
      <c r="E207" s="17" t="s">
        <v>694</v>
      </c>
      <c r="F207" s="18" t="s">
        <v>99</v>
      </c>
      <c r="G207" s="19" t="s">
        <v>233</v>
      </c>
      <c r="H207" s="19" t="s">
        <v>577</v>
      </c>
    </row>
    <row r="208" customFormat="false" ht="15" hidden="false" customHeight="false" outlineLevel="0" collapsed="false">
      <c r="A208" s="11"/>
      <c r="B208" s="11"/>
      <c r="C208" s="11" t="s">
        <v>182</v>
      </c>
      <c r="D208" s="16" t="s">
        <v>99</v>
      </c>
      <c r="E208" s="17" t="s">
        <v>694</v>
      </c>
      <c r="F208" s="18" t="s">
        <v>99</v>
      </c>
      <c r="G208" s="19" t="s">
        <v>233</v>
      </c>
      <c r="H208" s="19" t="s">
        <v>577</v>
      </c>
    </row>
    <row r="209" customFormat="false" ht="15" hidden="false" customHeight="false" outlineLevel="0" collapsed="false">
      <c r="A209" s="11"/>
      <c r="B209" s="11"/>
      <c r="C209" s="11" t="s">
        <v>185</v>
      </c>
      <c r="D209" s="16" t="s">
        <v>50</v>
      </c>
      <c r="E209" s="17" t="s">
        <v>695</v>
      </c>
      <c r="F209" s="18" t="s">
        <v>50</v>
      </c>
      <c r="G209" s="19" t="s">
        <v>696</v>
      </c>
      <c r="H209" s="19" t="s">
        <v>697</v>
      </c>
    </row>
    <row r="210" customFormat="false" ht="15" hidden="false" customHeight="false" outlineLevel="0" collapsed="false">
      <c r="A210" s="11"/>
      <c r="B210" s="11"/>
      <c r="C210" s="11" t="s">
        <v>191</v>
      </c>
      <c r="D210" s="16" t="s">
        <v>698</v>
      </c>
      <c r="E210" s="17" t="s">
        <v>699</v>
      </c>
      <c r="F210" s="18" t="s">
        <v>700</v>
      </c>
      <c r="G210" s="20" t="s">
        <v>701</v>
      </c>
      <c r="H210" s="19" t="s">
        <v>702</v>
      </c>
    </row>
    <row r="212" customFormat="false" ht="15" hidden="false" customHeight="false" outlineLevel="0" collapsed="false">
      <c r="A212" s="15" t="s">
        <v>22</v>
      </c>
      <c r="B212" s="11" t="s">
        <v>112</v>
      </c>
      <c r="C212" s="11" t="s">
        <v>129</v>
      </c>
      <c r="D212" s="16" t="s">
        <v>703</v>
      </c>
      <c r="E212" s="17" t="s">
        <v>703</v>
      </c>
      <c r="F212" s="18" t="s">
        <v>703</v>
      </c>
      <c r="G212" s="19" t="s">
        <v>132</v>
      </c>
      <c r="H212" s="19" t="s">
        <v>132</v>
      </c>
    </row>
    <row r="213" customFormat="false" ht="15" hidden="false" customHeight="false" outlineLevel="0" collapsed="false">
      <c r="A213" s="11"/>
      <c r="B213" s="11"/>
      <c r="C213" s="11" t="s">
        <v>133</v>
      </c>
      <c r="D213" s="16" t="s">
        <v>704</v>
      </c>
      <c r="E213" s="17" t="s">
        <v>704</v>
      </c>
      <c r="F213" s="18" t="s">
        <v>705</v>
      </c>
      <c r="G213" s="19" t="s">
        <v>706</v>
      </c>
      <c r="H213" s="19" t="s">
        <v>706</v>
      </c>
    </row>
    <row r="214" customFormat="false" ht="15" hidden="false" customHeight="false" outlineLevel="0" collapsed="false">
      <c r="A214" s="11"/>
      <c r="B214" s="11"/>
      <c r="C214" s="11" t="s">
        <v>137</v>
      </c>
      <c r="D214" s="16" t="s">
        <v>707</v>
      </c>
      <c r="E214" s="17" t="s">
        <v>707</v>
      </c>
      <c r="F214" s="18" t="s">
        <v>462</v>
      </c>
      <c r="G214" s="20" t="s">
        <v>708</v>
      </c>
      <c r="H214" s="20" t="s">
        <v>708</v>
      </c>
    </row>
    <row r="215" customFormat="false" ht="15" hidden="false" customHeight="false" outlineLevel="0" collapsed="false">
      <c r="A215" s="11"/>
      <c r="B215" s="11"/>
      <c r="C215" s="11" t="s">
        <v>139</v>
      </c>
      <c r="D215" s="16" t="s">
        <v>114</v>
      </c>
      <c r="E215" s="17" t="s">
        <v>336</v>
      </c>
      <c r="F215" s="18" t="s">
        <v>465</v>
      </c>
      <c r="G215" s="19" t="s">
        <v>709</v>
      </c>
      <c r="H215" s="19" t="s">
        <v>710</v>
      </c>
    </row>
    <row r="216" customFormat="false" ht="15" hidden="false" customHeight="false" outlineLevel="0" collapsed="false">
      <c r="A216" s="11"/>
      <c r="B216" s="11"/>
      <c r="C216" s="11" t="s">
        <v>144</v>
      </c>
      <c r="D216" s="16" t="s">
        <v>114</v>
      </c>
      <c r="E216" s="17" t="s">
        <v>115</v>
      </c>
      <c r="F216" s="18" t="s">
        <v>69</v>
      </c>
      <c r="G216" s="19" t="s">
        <v>711</v>
      </c>
      <c r="H216" s="20" t="s">
        <v>712</v>
      </c>
    </row>
    <row r="217" customFormat="false" ht="15" hidden="false" customHeight="false" outlineLevel="0" collapsed="false">
      <c r="A217" s="11"/>
      <c r="B217" s="11"/>
      <c r="C217" s="11" t="s">
        <v>148</v>
      </c>
      <c r="D217" s="16" t="s">
        <v>713</v>
      </c>
      <c r="E217" s="17" t="s">
        <v>714</v>
      </c>
      <c r="F217" s="18" t="s">
        <v>257</v>
      </c>
      <c r="G217" s="19" t="s">
        <v>715</v>
      </c>
      <c r="H217" s="19" t="s">
        <v>716</v>
      </c>
    </row>
    <row r="218" customFormat="false" ht="15" hidden="false" customHeight="false" outlineLevel="0" collapsed="false">
      <c r="A218" s="11"/>
      <c r="B218" s="11"/>
      <c r="C218" s="11" t="s">
        <v>154</v>
      </c>
      <c r="D218" s="16" t="s">
        <v>155</v>
      </c>
      <c r="E218" s="17" t="s">
        <v>717</v>
      </c>
      <c r="F218" s="18" t="s">
        <v>155</v>
      </c>
      <c r="G218" s="19" t="s">
        <v>476</v>
      </c>
      <c r="H218" s="19" t="s">
        <v>388</v>
      </c>
    </row>
    <row r="219" customFormat="false" ht="15" hidden="false" customHeight="false" outlineLevel="0" collapsed="false">
      <c r="A219" s="11"/>
      <c r="B219" s="11"/>
      <c r="C219" s="11" t="s">
        <v>159</v>
      </c>
      <c r="D219" s="16" t="s">
        <v>718</v>
      </c>
      <c r="E219" s="17" t="s">
        <v>719</v>
      </c>
      <c r="F219" s="18" t="s">
        <v>564</v>
      </c>
      <c r="G219" s="19" t="s">
        <v>720</v>
      </c>
      <c r="H219" s="19" t="s">
        <v>721</v>
      </c>
    </row>
    <row r="220" customFormat="false" ht="23.85" hidden="false" customHeight="false" outlineLevel="0" collapsed="false">
      <c r="A220" s="11"/>
      <c r="B220" s="11"/>
      <c r="C220" s="11" t="s">
        <v>165</v>
      </c>
      <c r="D220" s="16" t="s">
        <v>722</v>
      </c>
      <c r="E220" s="17" t="s">
        <v>723</v>
      </c>
      <c r="F220" s="18" t="s">
        <v>104</v>
      </c>
      <c r="G220" s="20" t="s">
        <v>724</v>
      </c>
      <c r="H220" s="20" t="s">
        <v>725</v>
      </c>
    </row>
    <row r="221" customFormat="false" ht="15" hidden="false" customHeight="false" outlineLevel="0" collapsed="false">
      <c r="A221" s="11"/>
      <c r="B221" s="11"/>
      <c r="C221" s="11" t="s">
        <v>171</v>
      </c>
      <c r="D221" s="16" t="s">
        <v>50</v>
      </c>
      <c r="E221" s="17" t="s">
        <v>116</v>
      </c>
      <c r="F221" s="18" t="s">
        <v>726</v>
      </c>
      <c r="G221" s="20" t="s">
        <v>727</v>
      </c>
      <c r="H221" s="20" t="s">
        <v>728</v>
      </c>
    </row>
    <row r="222" customFormat="false" ht="15" hidden="false" customHeight="false" outlineLevel="0" collapsed="false">
      <c r="A222" s="11"/>
      <c r="B222" s="11"/>
      <c r="C222" s="11" t="s">
        <v>174</v>
      </c>
      <c r="D222" s="16"/>
      <c r="E222" s="17" t="s">
        <v>729</v>
      </c>
      <c r="F222" s="18" t="s">
        <v>272</v>
      </c>
      <c r="G222" s="11" t="s">
        <v>177</v>
      </c>
      <c r="H222" s="19" t="s">
        <v>730</v>
      </c>
    </row>
    <row r="223" customFormat="false" ht="15" hidden="false" customHeight="false" outlineLevel="0" collapsed="false">
      <c r="A223" s="11"/>
      <c r="B223" s="11"/>
      <c r="C223" s="11" t="s">
        <v>179</v>
      </c>
      <c r="D223" s="16" t="s">
        <v>99</v>
      </c>
      <c r="E223" s="17" t="s">
        <v>731</v>
      </c>
      <c r="F223" s="18" t="s">
        <v>99</v>
      </c>
      <c r="G223" s="19" t="s">
        <v>233</v>
      </c>
      <c r="H223" s="19" t="s">
        <v>403</v>
      </c>
    </row>
    <row r="224" customFormat="false" ht="15" hidden="false" customHeight="false" outlineLevel="0" collapsed="false">
      <c r="A224" s="11"/>
      <c r="B224" s="11"/>
      <c r="C224" s="11" t="s">
        <v>182</v>
      </c>
      <c r="D224" s="16" t="s">
        <v>99</v>
      </c>
      <c r="E224" s="17" t="s">
        <v>732</v>
      </c>
      <c r="F224" s="18" t="s">
        <v>99</v>
      </c>
      <c r="G224" s="19" t="s">
        <v>233</v>
      </c>
      <c r="H224" s="19" t="s">
        <v>733</v>
      </c>
    </row>
    <row r="225" customFormat="false" ht="15" hidden="false" customHeight="false" outlineLevel="0" collapsed="false">
      <c r="A225" s="11"/>
      <c r="B225" s="11"/>
      <c r="C225" s="11" t="s">
        <v>185</v>
      </c>
      <c r="D225" s="16" t="s">
        <v>236</v>
      </c>
      <c r="E225" s="17" t="s">
        <v>734</v>
      </c>
      <c r="F225" s="18" t="s">
        <v>50</v>
      </c>
      <c r="G225" s="20" t="s">
        <v>735</v>
      </c>
      <c r="H225" s="19" t="s">
        <v>736</v>
      </c>
    </row>
    <row r="226" customFormat="false" ht="15" hidden="false" customHeight="false" outlineLevel="0" collapsed="false">
      <c r="A226" s="11"/>
      <c r="B226" s="11"/>
      <c r="C226" s="11" t="s">
        <v>191</v>
      </c>
      <c r="D226" s="16" t="s">
        <v>737</v>
      </c>
      <c r="E226" s="17" t="s">
        <v>738</v>
      </c>
      <c r="F226" s="18" t="s">
        <v>242</v>
      </c>
      <c r="G226" s="20" t="s">
        <v>739</v>
      </c>
      <c r="H226" s="19" t="s">
        <v>740</v>
      </c>
    </row>
    <row r="228" customFormat="false" ht="15" hidden="false" customHeight="false" outlineLevel="0" collapsed="false">
      <c r="A228" s="15" t="s">
        <v>23</v>
      </c>
      <c r="B228" s="11" t="s">
        <v>117</v>
      </c>
      <c r="C228" s="11" t="s">
        <v>129</v>
      </c>
      <c r="D228" s="16" t="s">
        <v>741</v>
      </c>
      <c r="E228" s="17" t="s">
        <v>741</v>
      </c>
      <c r="F228" s="18" t="s">
        <v>742</v>
      </c>
      <c r="G228" s="20" t="s">
        <v>743</v>
      </c>
      <c r="H228" s="20" t="s">
        <v>743</v>
      </c>
    </row>
    <row r="229" customFormat="false" ht="15" hidden="false" customHeight="false" outlineLevel="0" collapsed="false">
      <c r="A229" s="11"/>
      <c r="B229" s="11"/>
      <c r="C229" s="11" t="s">
        <v>133</v>
      </c>
      <c r="D229" s="16" t="s">
        <v>744</v>
      </c>
      <c r="E229" s="17" t="s">
        <v>744</v>
      </c>
      <c r="F229" s="18" t="s">
        <v>745</v>
      </c>
      <c r="G229" s="19" t="s">
        <v>746</v>
      </c>
      <c r="H229" s="19" t="s">
        <v>746</v>
      </c>
    </row>
    <row r="230" customFormat="false" ht="15" hidden="false" customHeight="false" outlineLevel="0" collapsed="false">
      <c r="A230" s="11"/>
      <c r="B230" s="11"/>
      <c r="C230" s="11" t="s">
        <v>137</v>
      </c>
      <c r="D230" s="16" t="s">
        <v>747</v>
      </c>
      <c r="E230" s="17" t="s">
        <v>747</v>
      </c>
      <c r="F230" s="18" t="s">
        <v>141</v>
      </c>
      <c r="G230" s="20" t="s">
        <v>748</v>
      </c>
      <c r="H230" s="20" t="s">
        <v>748</v>
      </c>
    </row>
    <row r="231" customFormat="false" ht="15" hidden="false" customHeight="false" outlineLevel="0" collapsed="false">
      <c r="A231" s="11"/>
      <c r="B231" s="11"/>
      <c r="C231" s="11" t="s">
        <v>139</v>
      </c>
      <c r="D231" s="16" t="s">
        <v>119</v>
      </c>
      <c r="E231" s="17" t="s">
        <v>336</v>
      </c>
      <c r="F231" s="18" t="s">
        <v>204</v>
      </c>
      <c r="G231" s="20" t="s">
        <v>749</v>
      </c>
      <c r="H231" s="19" t="s">
        <v>750</v>
      </c>
    </row>
    <row r="232" customFormat="false" ht="15" hidden="false" customHeight="false" outlineLevel="0" collapsed="false">
      <c r="A232" s="11"/>
      <c r="B232" s="11"/>
      <c r="C232" s="11" t="s">
        <v>144</v>
      </c>
      <c r="D232" s="16" t="s">
        <v>119</v>
      </c>
      <c r="E232" s="17" t="s">
        <v>120</v>
      </c>
      <c r="F232" s="18" t="s">
        <v>591</v>
      </c>
      <c r="G232" s="19" t="s">
        <v>751</v>
      </c>
      <c r="H232" s="19" t="s">
        <v>752</v>
      </c>
    </row>
    <row r="233" customFormat="false" ht="15" hidden="false" customHeight="false" outlineLevel="0" collapsed="false">
      <c r="A233" s="11"/>
      <c r="B233" s="11"/>
      <c r="C233" s="11" t="s">
        <v>148</v>
      </c>
      <c r="D233" s="16" t="s">
        <v>753</v>
      </c>
      <c r="E233" s="17" t="s">
        <v>754</v>
      </c>
      <c r="F233" s="18" t="s">
        <v>755</v>
      </c>
      <c r="G233" s="19" t="s">
        <v>514</v>
      </c>
      <c r="H233" s="19" t="s">
        <v>756</v>
      </c>
    </row>
    <row r="234" customFormat="false" ht="15" hidden="false" customHeight="false" outlineLevel="0" collapsed="false">
      <c r="A234" s="11"/>
      <c r="B234" s="11"/>
      <c r="C234" s="11" t="s">
        <v>154</v>
      </c>
      <c r="D234" s="16" t="s">
        <v>99</v>
      </c>
      <c r="E234" s="17" t="s">
        <v>757</v>
      </c>
      <c r="F234" s="18" t="s">
        <v>99</v>
      </c>
      <c r="G234" s="19" t="s">
        <v>233</v>
      </c>
      <c r="H234" s="20" t="s">
        <v>758</v>
      </c>
    </row>
    <row r="235" customFormat="false" ht="15" hidden="false" customHeight="false" outlineLevel="0" collapsed="false">
      <c r="A235" s="11"/>
      <c r="B235" s="11"/>
      <c r="C235" s="11" t="s">
        <v>159</v>
      </c>
      <c r="D235" s="16" t="s">
        <v>759</v>
      </c>
      <c r="E235" s="17" t="s">
        <v>760</v>
      </c>
      <c r="F235" s="18" t="s">
        <v>141</v>
      </c>
      <c r="G235" s="19" t="s">
        <v>761</v>
      </c>
      <c r="H235" s="19" t="s">
        <v>762</v>
      </c>
    </row>
    <row r="236" customFormat="false" ht="15" hidden="false" customHeight="false" outlineLevel="0" collapsed="false">
      <c r="A236" s="11"/>
      <c r="B236" s="11"/>
      <c r="C236" s="11" t="s">
        <v>165</v>
      </c>
      <c r="D236" s="16" t="s">
        <v>763</v>
      </c>
      <c r="E236" s="17" t="s">
        <v>764</v>
      </c>
      <c r="F236" s="18" t="s">
        <v>765</v>
      </c>
      <c r="G236" s="20" t="s">
        <v>766</v>
      </c>
      <c r="H236" s="20" t="s">
        <v>767</v>
      </c>
    </row>
    <row r="237" customFormat="false" ht="15" hidden="false" customHeight="false" outlineLevel="0" collapsed="false">
      <c r="A237" s="11"/>
      <c r="B237" s="11"/>
      <c r="C237" s="11" t="s">
        <v>171</v>
      </c>
      <c r="D237" s="16" t="s">
        <v>50</v>
      </c>
      <c r="E237" s="17" t="s">
        <v>121</v>
      </c>
      <c r="F237" s="18" t="s">
        <v>145</v>
      </c>
      <c r="G237" s="20" t="s">
        <v>172</v>
      </c>
      <c r="H237" s="20" t="s">
        <v>768</v>
      </c>
    </row>
    <row r="238" customFormat="false" ht="15" hidden="false" customHeight="false" outlineLevel="0" collapsed="false">
      <c r="A238" s="11"/>
      <c r="B238" s="11"/>
      <c r="C238" s="11" t="s">
        <v>174</v>
      </c>
      <c r="D238" s="16"/>
      <c r="E238" s="17" t="s">
        <v>769</v>
      </c>
      <c r="F238" s="18" t="s">
        <v>344</v>
      </c>
      <c r="G238" s="11" t="s">
        <v>177</v>
      </c>
      <c r="H238" s="19" t="s">
        <v>770</v>
      </c>
    </row>
    <row r="239" customFormat="false" ht="15" hidden="false" customHeight="false" outlineLevel="0" collapsed="false">
      <c r="A239" s="11"/>
      <c r="B239" s="11"/>
      <c r="C239" s="11" t="s">
        <v>179</v>
      </c>
      <c r="D239" s="16" t="s">
        <v>99</v>
      </c>
      <c r="E239" s="17" t="s">
        <v>771</v>
      </c>
      <c r="F239" s="18" t="s">
        <v>99</v>
      </c>
      <c r="G239" s="19" t="s">
        <v>233</v>
      </c>
      <c r="H239" s="19" t="s">
        <v>659</v>
      </c>
    </row>
    <row r="240" customFormat="false" ht="15" hidden="false" customHeight="false" outlineLevel="0" collapsed="false">
      <c r="A240" s="11"/>
      <c r="B240" s="11"/>
      <c r="C240" s="11" t="s">
        <v>182</v>
      </c>
      <c r="D240" s="16" t="s">
        <v>99</v>
      </c>
      <c r="E240" s="17" t="s">
        <v>772</v>
      </c>
      <c r="F240" s="18" t="s">
        <v>99</v>
      </c>
      <c r="G240" s="19" t="s">
        <v>233</v>
      </c>
      <c r="H240" s="19" t="s">
        <v>773</v>
      </c>
    </row>
    <row r="241" customFormat="false" ht="15" hidden="false" customHeight="false" outlineLevel="0" collapsed="false">
      <c r="A241" s="11"/>
      <c r="B241" s="11"/>
      <c r="C241" s="11" t="s">
        <v>185</v>
      </c>
      <c r="D241" s="16" t="s">
        <v>236</v>
      </c>
      <c r="E241" s="17" t="s">
        <v>774</v>
      </c>
      <c r="F241" s="18" t="s">
        <v>278</v>
      </c>
      <c r="G241" s="19" t="s">
        <v>535</v>
      </c>
      <c r="H241" s="20" t="s">
        <v>775</v>
      </c>
    </row>
    <row r="242" customFormat="false" ht="15" hidden="false" customHeight="false" outlineLevel="0" collapsed="false">
      <c r="A242" s="11"/>
      <c r="B242" s="11"/>
      <c r="C242" s="11" t="s">
        <v>191</v>
      </c>
      <c r="D242" s="16" t="s">
        <v>776</v>
      </c>
      <c r="E242" s="17" t="s">
        <v>777</v>
      </c>
      <c r="F242" s="18" t="s">
        <v>778</v>
      </c>
      <c r="G242" s="20" t="s">
        <v>779</v>
      </c>
      <c r="H242" s="20" t="s">
        <v>780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60"/>
    <col collapsed="false" customWidth="true" hidden="false" outlineLevel="0" max="5" min="5" style="0" width="28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781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37</v>
      </c>
      <c r="B3" s="2" t="s">
        <v>1</v>
      </c>
      <c r="C3" s="2" t="s">
        <v>2</v>
      </c>
      <c r="D3" s="2" t="s">
        <v>782</v>
      </c>
      <c r="E3" s="2" t="s">
        <v>783</v>
      </c>
      <c r="F3" s="2" t="s">
        <v>784</v>
      </c>
    </row>
    <row r="4" customFormat="false" ht="54.75" hidden="false" customHeight="true" outlineLevel="0" collapsed="false">
      <c r="A4" s="21" t="n">
        <v>1</v>
      </c>
      <c r="B4" s="21" t="s">
        <v>7</v>
      </c>
      <c r="C4" s="21" t="s">
        <v>8</v>
      </c>
      <c r="D4" s="21" t="s">
        <v>46</v>
      </c>
      <c r="E4" s="21" t="s">
        <v>47</v>
      </c>
      <c r="F4" s="21" t="s">
        <v>785</v>
      </c>
    </row>
    <row r="5" customFormat="false" ht="54.75" hidden="false" customHeight="true" outlineLevel="0" collapsed="false">
      <c r="A5" s="21" t="n">
        <v>2</v>
      </c>
      <c r="B5" s="21" t="s">
        <v>9</v>
      </c>
      <c r="C5" s="21" t="s">
        <v>8</v>
      </c>
      <c r="D5" s="21" t="s">
        <v>52</v>
      </c>
      <c r="E5" s="21" t="s">
        <v>53</v>
      </c>
      <c r="F5" s="21" t="s">
        <v>786</v>
      </c>
    </row>
    <row r="6" customFormat="false" ht="54.75" hidden="false" customHeight="true" outlineLevel="0" collapsed="false">
      <c r="A6" s="21" t="n">
        <v>3</v>
      </c>
      <c r="B6" s="21" t="s">
        <v>10</v>
      </c>
      <c r="C6" s="21" t="s">
        <v>8</v>
      </c>
      <c r="D6" s="21" t="s">
        <v>57</v>
      </c>
      <c r="E6" s="21" t="s">
        <v>58</v>
      </c>
      <c r="F6" s="21" t="s">
        <v>787</v>
      </c>
    </row>
    <row r="7" customFormat="false" ht="54.75" hidden="false" customHeight="true" outlineLevel="0" collapsed="false">
      <c r="A7" s="21" t="n">
        <v>4</v>
      </c>
      <c r="B7" s="21" t="s">
        <v>11</v>
      </c>
      <c r="C7" s="21" t="s">
        <v>8</v>
      </c>
      <c r="D7" s="21" t="s">
        <v>62</v>
      </c>
      <c r="E7" s="21" t="s">
        <v>63</v>
      </c>
      <c r="F7" s="21" t="s">
        <v>788</v>
      </c>
    </row>
    <row r="8" customFormat="false" ht="54.75" hidden="false" customHeight="true" outlineLevel="0" collapsed="false">
      <c r="A8" s="21" t="n">
        <v>5</v>
      </c>
      <c r="B8" s="21" t="s">
        <v>12</v>
      </c>
      <c r="C8" s="21" t="s">
        <v>8</v>
      </c>
      <c r="D8" s="21" t="s">
        <v>67</v>
      </c>
      <c r="E8" s="21" t="s">
        <v>68</v>
      </c>
      <c r="F8" s="21" t="s">
        <v>789</v>
      </c>
    </row>
    <row r="9" customFormat="false" ht="54.75" hidden="false" customHeight="true" outlineLevel="0" collapsed="false">
      <c r="A9" s="21" t="n">
        <v>6</v>
      </c>
      <c r="B9" s="21" t="s">
        <v>13</v>
      </c>
      <c r="C9" s="21" t="s">
        <v>8</v>
      </c>
      <c r="D9" s="21" t="s">
        <v>72</v>
      </c>
      <c r="E9" s="21" t="s">
        <v>73</v>
      </c>
      <c r="F9" s="21" t="s">
        <v>790</v>
      </c>
    </row>
    <row r="10" customFormat="false" ht="54.75" hidden="false" customHeight="true" outlineLevel="0" collapsed="false">
      <c r="A10" s="21" t="n">
        <v>7</v>
      </c>
      <c r="B10" s="21" t="s">
        <v>14</v>
      </c>
      <c r="C10" s="21" t="s">
        <v>8</v>
      </c>
      <c r="D10" s="21" t="s">
        <v>77</v>
      </c>
      <c r="E10" s="21" t="s">
        <v>78</v>
      </c>
      <c r="F10" s="21" t="s">
        <v>791</v>
      </c>
    </row>
    <row r="11" customFormat="false" ht="54.75" hidden="false" customHeight="true" outlineLevel="0" collapsed="false">
      <c r="A11" s="21" t="n">
        <v>8</v>
      </c>
      <c r="B11" s="21" t="s">
        <v>15</v>
      </c>
      <c r="C11" s="21" t="s">
        <v>8</v>
      </c>
      <c r="D11" s="21" t="s">
        <v>82</v>
      </c>
      <c r="E11" s="21" t="s">
        <v>83</v>
      </c>
      <c r="F11" s="21" t="s">
        <v>792</v>
      </c>
    </row>
    <row r="12" customFormat="false" ht="54.75" hidden="false" customHeight="true" outlineLevel="0" collapsed="false">
      <c r="A12" s="21" t="n">
        <v>9</v>
      </c>
      <c r="B12" s="21" t="s">
        <v>16</v>
      </c>
      <c r="C12" s="21" t="s">
        <v>8</v>
      </c>
      <c r="D12" s="21" t="s">
        <v>87</v>
      </c>
      <c r="E12" s="21" t="s">
        <v>88</v>
      </c>
      <c r="F12" s="21" t="s">
        <v>793</v>
      </c>
    </row>
    <row r="13" customFormat="false" ht="54.75" hidden="false" customHeight="true" outlineLevel="0" collapsed="false">
      <c r="A13" s="21" t="n">
        <v>10</v>
      </c>
      <c r="B13" s="21" t="s">
        <v>17</v>
      </c>
      <c r="C13" s="21" t="s">
        <v>8</v>
      </c>
      <c r="D13" s="21" t="s">
        <v>92</v>
      </c>
      <c r="E13" s="21" t="s">
        <v>93</v>
      </c>
      <c r="F13" s="21" t="s">
        <v>794</v>
      </c>
    </row>
    <row r="14" customFormat="false" ht="54.75" hidden="false" customHeight="true" outlineLevel="0" collapsed="false">
      <c r="A14" s="21" t="n">
        <v>11</v>
      </c>
      <c r="B14" s="21" t="s">
        <v>18</v>
      </c>
      <c r="C14" s="21" t="s">
        <v>19</v>
      </c>
      <c r="D14" s="21" t="s">
        <v>97</v>
      </c>
      <c r="E14" s="21" t="s">
        <v>98</v>
      </c>
      <c r="F14" s="21" t="s">
        <v>795</v>
      </c>
    </row>
    <row r="15" customFormat="false" ht="54.75" hidden="false" customHeight="true" outlineLevel="0" collapsed="false">
      <c r="A15" s="21" t="n">
        <v>12</v>
      </c>
      <c r="B15" s="21" t="s">
        <v>20</v>
      </c>
      <c r="C15" s="21" t="s">
        <v>19</v>
      </c>
      <c r="D15" s="21" t="s">
        <v>102</v>
      </c>
      <c r="E15" s="21" t="s">
        <v>103</v>
      </c>
      <c r="F15" s="21" t="s">
        <v>796</v>
      </c>
    </row>
    <row r="16" customFormat="false" ht="54.75" hidden="false" customHeight="true" outlineLevel="0" collapsed="false">
      <c r="A16" s="21" t="n">
        <v>13</v>
      </c>
      <c r="B16" s="21" t="s">
        <v>21</v>
      </c>
      <c r="C16" s="21" t="s">
        <v>19</v>
      </c>
      <c r="D16" s="21" t="s">
        <v>107</v>
      </c>
      <c r="E16" s="21" t="s">
        <v>108</v>
      </c>
      <c r="F16" s="21" t="s">
        <v>797</v>
      </c>
    </row>
    <row r="17" customFormat="false" ht="54.75" hidden="false" customHeight="true" outlineLevel="0" collapsed="false">
      <c r="A17" s="21" t="n">
        <v>14</v>
      </c>
      <c r="B17" s="21" t="s">
        <v>22</v>
      </c>
      <c r="C17" s="21" t="s">
        <v>19</v>
      </c>
      <c r="D17" s="21" t="s">
        <v>112</v>
      </c>
      <c r="E17" s="21" t="s">
        <v>113</v>
      </c>
      <c r="F17" s="21" t="s">
        <v>798</v>
      </c>
    </row>
    <row r="18" customFormat="false" ht="54.75" hidden="false" customHeight="true" outlineLevel="0" collapsed="false">
      <c r="A18" s="21" t="n">
        <v>15</v>
      </c>
      <c r="B18" s="21" t="s">
        <v>23</v>
      </c>
      <c r="C18" s="21" t="s">
        <v>19</v>
      </c>
      <c r="D18" s="21" t="s">
        <v>117</v>
      </c>
      <c r="E18" s="21" t="s">
        <v>118</v>
      </c>
      <c r="F18" s="21" t="s">
        <v>799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V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100" min="3" style="0" width="18"/>
  </cols>
  <sheetData>
    <row r="1" customFormat="false" ht="15" hidden="false" customHeight="false" outlineLevel="0" collapsed="false">
      <c r="A1" s="22" t="s">
        <v>800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customFormat="false" ht="52.2" hidden="false" customHeight="false" outlineLevel="0" collapsed="false">
      <c r="A3" s="2" t="s">
        <v>1</v>
      </c>
      <c r="B3" s="2" t="s">
        <v>38</v>
      </c>
      <c r="C3" s="2" t="s">
        <v>801</v>
      </c>
      <c r="D3" s="2" t="s">
        <v>802</v>
      </c>
      <c r="E3" s="2" t="s">
        <v>803</v>
      </c>
      <c r="F3" s="2" t="s">
        <v>804</v>
      </c>
      <c r="G3" s="2" t="s">
        <v>805</v>
      </c>
      <c r="H3" s="2" t="s">
        <v>806</v>
      </c>
      <c r="I3" s="2" t="s">
        <v>807</v>
      </c>
      <c r="J3" s="2" t="s">
        <v>808</v>
      </c>
      <c r="K3" s="2" t="s">
        <v>809</v>
      </c>
      <c r="L3" s="2" t="s">
        <v>810</v>
      </c>
      <c r="M3" s="2" t="s">
        <v>811</v>
      </c>
      <c r="N3" s="2" t="s">
        <v>812</v>
      </c>
      <c r="O3" s="2" t="s">
        <v>813</v>
      </c>
      <c r="P3" s="2" t="s">
        <v>814</v>
      </c>
      <c r="Q3" s="2" t="s">
        <v>815</v>
      </c>
      <c r="R3" s="2" t="s">
        <v>816</v>
      </c>
      <c r="S3" s="2" t="s">
        <v>817</v>
      </c>
      <c r="T3" s="2" t="s">
        <v>818</v>
      </c>
      <c r="U3" s="2" t="s">
        <v>819</v>
      </c>
      <c r="V3" s="2" t="s">
        <v>820</v>
      </c>
      <c r="W3" s="2" t="s">
        <v>821</v>
      </c>
      <c r="X3" s="2" t="s">
        <v>822</v>
      </c>
      <c r="Y3" s="2" t="s">
        <v>823</v>
      </c>
      <c r="Z3" s="2" t="s">
        <v>824</v>
      </c>
      <c r="AA3" s="2" t="s">
        <v>825</v>
      </c>
      <c r="AB3" s="2" t="s">
        <v>826</v>
      </c>
      <c r="AC3" s="2" t="s">
        <v>827</v>
      </c>
      <c r="AD3" s="2" t="s">
        <v>828</v>
      </c>
      <c r="AE3" s="2" t="s">
        <v>829</v>
      </c>
      <c r="AF3" s="2" t="s">
        <v>830</v>
      </c>
      <c r="AG3" s="2" t="s">
        <v>831</v>
      </c>
      <c r="AH3" s="2" t="s">
        <v>832</v>
      </c>
      <c r="AI3" s="2" t="s">
        <v>833</v>
      </c>
      <c r="AJ3" s="2" t="s">
        <v>834</v>
      </c>
      <c r="AK3" s="2" t="s">
        <v>835</v>
      </c>
      <c r="AL3" s="2" t="s">
        <v>836</v>
      </c>
      <c r="AM3" s="2" t="s">
        <v>837</v>
      </c>
      <c r="AN3" s="2" t="s">
        <v>838</v>
      </c>
      <c r="AO3" s="2" t="s">
        <v>839</v>
      </c>
      <c r="AP3" s="2" t="s">
        <v>840</v>
      </c>
      <c r="AQ3" s="2" t="s">
        <v>841</v>
      </c>
      <c r="AR3" s="2" t="s">
        <v>842</v>
      </c>
      <c r="AS3" s="2" t="s">
        <v>843</v>
      </c>
      <c r="AT3" s="2" t="s">
        <v>844</v>
      </c>
      <c r="AU3" s="2" t="s">
        <v>845</v>
      </c>
      <c r="AV3" s="2" t="s">
        <v>846</v>
      </c>
      <c r="AW3" s="2" t="s">
        <v>847</v>
      </c>
      <c r="AX3" s="2" t="s">
        <v>848</v>
      </c>
      <c r="AY3" s="2" t="s">
        <v>849</v>
      </c>
      <c r="AZ3" s="2" t="s">
        <v>850</v>
      </c>
      <c r="BA3" s="2" t="s">
        <v>851</v>
      </c>
      <c r="BB3" s="2" t="s">
        <v>852</v>
      </c>
      <c r="BC3" s="2" t="s">
        <v>853</v>
      </c>
      <c r="BD3" s="2" t="s">
        <v>854</v>
      </c>
      <c r="BE3" s="2" t="s">
        <v>855</v>
      </c>
      <c r="BF3" s="2" t="s">
        <v>856</v>
      </c>
      <c r="BG3" s="2" t="s">
        <v>857</v>
      </c>
      <c r="BH3" s="2" t="s">
        <v>858</v>
      </c>
      <c r="BI3" s="2" t="s">
        <v>859</v>
      </c>
      <c r="BJ3" s="2" t="s">
        <v>860</v>
      </c>
      <c r="BK3" s="2" t="s">
        <v>861</v>
      </c>
      <c r="BL3" s="2" t="s">
        <v>862</v>
      </c>
      <c r="BM3" s="2" t="s">
        <v>863</v>
      </c>
      <c r="BN3" s="2" t="s">
        <v>864</v>
      </c>
      <c r="BO3" s="2" t="s">
        <v>865</v>
      </c>
      <c r="BP3" s="2" t="s">
        <v>866</v>
      </c>
      <c r="BQ3" s="2" t="s">
        <v>867</v>
      </c>
      <c r="BR3" s="2" t="s">
        <v>868</v>
      </c>
      <c r="BS3" s="2" t="s">
        <v>869</v>
      </c>
      <c r="BT3" s="2" t="s">
        <v>870</v>
      </c>
      <c r="BU3" s="2" t="s">
        <v>871</v>
      </c>
      <c r="BV3" s="2" t="s">
        <v>872</v>
      </c>
      <c r="BW3" s="2" t="s">
        <v>873</v>
      </c>
      <c r="BX3" s="2" t="s">
        <v>874</v>
      </c>
      <c r="BY3" s="2" t="s">
        <v>875</v>
      </c>
      <c r="BZ3" s="2" t="s">
        <v>876</v>
      </c>
      <c r="CA3" s="2" t="s">
        <v>877</v>
      </c>
      <c r="CB3" s="2" t="s">
        <v>878</v>
      </c>
      <c r="CC3" s="2" t="s">
        <v>879</v>
      </c>
      <c r="CD3" s="2" t="s">
        <v>880</v>
      </c>
      <c r="CE3" s="2" t="s">
        <v>881</v>
      </c>
      <c r="CF3" s="2" t="s">
        <v>882</v>
      </c>
      <c r="CG3" s="2" t="s">
        <v>883</v>
      </c>
      <c r="CH3" s="2" t="s">
        <v>884</v>
      </c>
      <c r="CI3" s="2" t="s">
        <v>885</v>
      </c>
      <c r="CJ3" s="2" t="s">
        <v>886</v>
      </c>
      <c r="CK3" s="2" t="s">
        <v>887</v>
      </c>
      <c r="CL3" s="2" t="s">
        <v>888</v>
      </c>
      <c r="CM3" s="2" t="s">
        <v>889</v>
      </c>
      <c r="CN3" s="2" t="s">
        <v>890</v>
      </c>
      <c r="CO3" s="2" t="s">
        <v>891</v>
      </c>
      <c r="CP3" s="2" t="s">
        <v>892</v>
      </c>
      <c r="CQ3" s="2" t="s">
        <v>893</v>
      </c>
      <c r="CR3" s="2" t="s">
        <v>894</v>
      </c>
      <c r="CS3" s="2" t="s">
        <v>895</v>
      </c>
      <c r="CT3" s="2" t="s">
        <v>896</v>
      </c>
      <c r="CU3" s="2" t="s">
        <v>897</v>
      </c>
      <c r="CV3" s="2" t="s">
        <v>898</v>
      </c>
    </row>
    <row r="4" customFormat="false" ht="15" hidden="false" customHeight="false" outlineLevel="0" collapsed="false">
      <c r="A4" s="23" t="s">
        <v>7</v>
      </c>
      <c r="B4" s="23" t="s">
        <v>46</v>
      </c>
      <c r="C4" s="23" t="s">
        <v>130</v>
      </c>
      <c r="D4" s="23" t="s">
        <v>134</v>
      </c>
      <c r="E4" s="23" t="s">
        <v>483</v>
      </c>
      <c r="F4" s="23" t="s">
        <v>483</v>
      </c>
      <c r="G4" s="23" t="s">
        <v>268</v>
      </c>
      <c r="H4" s="23" t="s">
        <v>899</v>
      </c>
      <c r="I4" s="23" t="s">
        <v>268</v>
      </c>
      <c r="J4" s="23" t="s">
        <v>138</v>
      </c>
      <c r="K4" s="23" t="s">
        <v>183</v>
      </c>
      <c r="L4" s="23" t="s">
        <v>156</v>
      </c>
      <c r="M4" s="23" t="s">
        <v>900</v>
      </c>
      <c r="N4" s="23" t="s">
        <v>901</v>
      </c>
      <c r="O4" s="23" t="s">
        <v>902</v>
      </c>
      <c r="P4" s="23" t="s">
        <v>903</v>
      </c>
      <c r="Q4" s="23" t="s">
        <v>904</v>
      </c>
      <c r="R4" s="23" t="s">
        <v>905</v>
      </c>
      <c r="S4" s="23" t="s">
        <v>906</v>
      </c>
      <c r="T4" s="23" t="s">
        <v>907</v>
      </c>
      <c r="U4" s="23" t="s">
        <v>908</v>
      </c>
      <c r="V4" s="23" t="s">
        <v>909</v>
      </c>
      <c r="W4" s="23" t="s">
        <v>910</v>
      </c>
      <c r="X4" s="23" t="s">
        <v>187</v>
      </c>
      <c r="Y4" s="23" t="s">
        <v>911</v>
      </c>
      <c r="Z4" s="23" t="s">
        <v>912</v>
      </c>
      <c r="AA4" s="23" t="s">
        <v>913</v>
      </c>
      <c r="AB4" s="23" t="s">
        <v>914</v>
      </c>
      <c r="AC4" s="23" t="s">
        <v>915</v>
      </c>
      <c r="AD4" s="23" t="s">
        <v>913</v>
      </c>
      <c r="AE4" s="23" t="s">
        <v>916</v>
      </c>
      <c r="AF4" s="23" t="s">
        <v>917</v>
      </c>
      <c r="AG4" s="23" t="s">
        <v>918</v>
      </c>
      <c r="AH4" s="23" t="s">
        <v>919</v>
      </c>
      <c r="AI4" s="23" t="s">
        <v>920</v>
      </c>
      <c r="AJ4" s="23" t="s">
        <v>274</v>
      </c>
      <c r="AK4" s="23" t="s">
        <v>910</v>
      </c>
      <c r="AL4" s="23" t="s">
        <v>921</v>
      </c>
      <c r="AM4" s="23" t="s">
        <v>922</v>
      </c>
      <c r="AN4" s="23" t="s">
        <v>923</v>
      </c>
      <c r="AO4" s="23" t="s">
        <v>180</v>
      </c>
      <c r="AP4" s="23" t="s">
        <v>150</v>
      </c>
      <c r="AQ4" s="23" t="s">
        <v>924</v>
      </c>
      <c r="AR4" s="23" t="s">
        <v>925</v>
      </c>
      <c r="AS4" s="23" t="s">
        <v>51</v>
      </c>
      <c r="AT4" s="23" t="s">
        <v>926</v>
      </c>
      <c r="AU4" s="23" t="s">
        <v>927</v>
      </c>
      <c r="AV4" s="23" t="s">
        <v>649</v>
      </c>
      <c r="AW4" s="23" t="s">
        <v>161</v>
      </c>
      <c r="AX4" s="23" t="s">
        <v>175</v>
      </c>
      <c r="AY4" s="23" t="s">
        <v>928</v>
      </c>
      <c r="AZ4" s="23" t="s">
        <v>929</v>
      </c>
      <c r="BA4" s="23" t="s">
        <v>930</v>
      </c>
      <c r="BB4" s="23" t="s">
        <v>931</v>
      </c>
      <c r="BC4" s="23" t="s">
        <v>932</v>
      </c>
      <c r="BD4" s="23" t="s">
        <v>933</v>
      </c>
      <c r="BE4" s="23" t="s">
        <v>934</v>
      </c>
      <c r="BF4" s="23" t="s">
        <v>935</v>
      </c>
      <c r="BG4" s="23" t="s">
        <v>936</v>
      </c>
      <c r="BH4" s="23" t="s">
        <v>937</v>
      </c>
      <c r="BI4" s="23" t="s">
        <v>145</v>
      </c>
      <c r="BJ4" s="23" t="s">
        <v>938</v>
      </c>
      <c r="BK4" s="23" t="s">
        <v>939</v>
      </c>
      <c r="BL4" s="23" t="s">
        <v>940</v>
      </c>
      <c r="BM4" s="23" t="s">
        <v>941</v>
      </c>
      <c r="BN4" s="23" t="s">
        <v>942</v>
      </c>
      <c r="BO4" s="23" t="s">
        <v>943</v>
      </c>
      <c r="BP4" s="23" t="s">
        <v>944</v>
      </c>
      <c r="BQ4" s="23" t="s">
        <v>945</v>
      </c>
      <c r="BR4" s="23" t="s">
        <v>946</v>
      </c>
      <c r="BS4" s="23" t="s">
        <v>947</v>
      </c>
      <c r="BT4" s="23" t="s">
        <v>948</v>
      </c>
      <c r="BU4" s="23" t="s">
        <v>949</v>
      </c>
      <c r="BV4" s="23" t="s">
        <v>950</v>
      </c>
      <c r="BW4" s="23" t="s">
        <v>951</v>
      </c>
      <c r="BX4" s="23" t="s">
        <v>952</v>
      </c>
      <c r="BY4" s="23" t="s">
        <v>85</v>
      </c>
      <c r="BZ4" s="23" t="s">
        <v>719</v>
      </c>
      <c r="CA4" s="23" t="s">
        <v>953</v>
      </c>
      <c r="CB4" s="23" t="s">
        <v>931</v>
      </c>
      <c r="CC4" s="23" t="s">
        <v>954</v>
      </c>
      <c r="CD4" s="23" t="s">
        <v>955</v>
      </c>
      <c r="CE4" s="23" t="s">
        <v>956</v>
      </c>
      <c r="CF4" s="23" t="s">
        <v>957</v>
      </c>
      <c r="CG4" s="23" t="s">
        <v>958</v>
      </c>
      <c r="CH4" s="23" t="s">
        <v>959</v>
      </c>
      <c r="CI4" s="23" t="s">
        <v>960</v>
      </c>
      <c r="CJ4" s="23" t="s">
        <v>644</v>
      </c>
      <c r="CK4" s="23" t="s">
        <v>440</v>
      </c>
      <c r="CL4" s="23" t="s">
        <v>961</v>
      </c>
      <c r="CM4" s="23" t="s">
        <v>962</v>
      </c>
      <c r="CN4" s="23" t="s">
        <v>963</v>
      </c>
      <c r="CO4" s="23" t="s">
        <v>964</v>
      </c>
      <c r="CP4" s="23" t="s">
        <v>965</v>
      </c>
      <c r="CQ4" s="23" t="s">
        <v>966</v>
      </c>
      <c r="CR4" s="23" t="s">
        <v>75</v>
      </c>
      <c r="CS4" s="23" t="s">
        <v>967</v>
      </c>
      <c r="CT4" s="23" t="s">
        <v>968</v>
      </c>
      <c r="CU4" s="23" t="s">
        <v>969</v>
      </c>
      <c r="CV4" s="23" t="s">
        <v>970</v>
      </c>
    </row>
    <row r="5" customFormat="false" ht="15" hidden="false" customHeight="false" outlineLevel="0" collapsed="false">
      <c r="A5" s="23" t="s">
        <v>9</v>
      </c>
      <c r="B5" s="23" t="s">
        <v>52</v>
      </c>
      <c r="C5" s="23" t="s">
        <v>197</v>
      </c>
      <c r="D5" s="23" t="s">
        <v>199</v>
      </c>
      <c r="E5" s="23" t="s">
        <v>416</v>
      </c>
      <c r="F5" s="23" t="s">
        <v>155</v>
      </c>
      <c r="G5" s="23" t="s">
        <v>483</v>
      </c>
      <c r="H5" s="23" t="s">
        <v>971</v>
      </c>
      <c r="I5" s="23" t="s">
        <v>99</v>
      </c>
      <c r="J5" s="23" t="s">
        <v>202</v>
      </c>
      <c r="K5" s="23" t="s">
        <v>234</v>
      </c>
      <c r="L5" s="23" t="s">
        <v>215</v>
      </c>
      <c r="M5" s="23" t="s">
        <v>972</v>
      </c>
      <c r="N5" s="23" t="s">
        <v>973</v>
      </c>
      <c r="O5" s="23" t="s">
        <v>974</v>
      </c>
      <c r="P5" s="23" t="s">
        <v>975</v>
      </c>
      <c r="Q5" s="23" t="s">
        <v>976</v>
      </c>
      <c r="R5" s="23" t="s">
        <v>977</v>
      </c>
      <c r="S5" s="23" t="s">
        <v>978</v>
      </c>
      <c r="T5" s="23" t="s">
        <v>979</v>
      </c>
      <c r="U5" s="23" t="s">
        <v>99</v>
      </c>
      <c r="V5" s="23" t="s">
        <v>980</v>
      </c>
      <c r="W5" s="23" t="s">
        <v>981</v>
      </c>
      <c r="X5" s="23" t="s">
        <v>237</v>
      </c>
      <c r="Y5" s="23" t="s">
        <v>982</v>
      </c>
      <c r="Z5" s="23" t="s">
        <v>983</v>
      </c>
      <c r="AA5" s="23" t="s">
        <v>984</v>
      </c>
      <c r="AB5" s="23" t="s">
        <v>978</v>
      </c>
      <c r="AC5" s="23" t="s">
        <v>985</v>
      </c>
      <c r="AD5" s="23" t="s">
        <v>986</v>
      </c>
      <c r="AE5" s="23" t="s">
        <v>987</v>
      </c>
      <c r="AF5" s="23" t="s">
        <v>986</v>
      </c>
      <c r="AG5" s="23" t="s">
        <v>988</v>
      </c>
      <c r="AH5" s="23" t="s">
        <v>274</v>
      </c>
      <c r="AI5" s="23" t="s">
        <v>989</v>
      </c>
      <c r="AJ5" s="23" t="s">
        <v>985</v>
      </c>
      <c r="AK5" s="23" t="s">
        <v>978</v>
      </c>
      <c r="AL5" s="23" t="s">
        <v>983</v>
      </c>
      <c r="AM5" s="23" t="s">
        <v>983</v>
      </c>
      <c r="AN5" s="23" t="s">
        <v>990</v>
      </c>
      <c r="AO5" s="23" t="s">
        <v>232</v>
      </c>
      <c r="AP5" s="23" t="s">
        <v>211</v>
      </c>
      <c r="AQ5" s="23" t="s">
        <v>991</v>
      </c>
      <c r="AR5" s="23" t="s">
        <v>992</v>
      </c>
      <c r="AS5" s="23" t="s">
        <v>56</v>
      </c>
      <c r="AT5" s="23" t="s">
        <v>993</v>
      </c>
      <c r="AU5" s="23" t="s">
        <v>994</v>
      </c>
      <c r="AV5" s="23" t="s">
        <v>995</v>
      </c>
      <c r="AW5" s="23" t="s">
        <v>218</v>
      </c>
      <c r="AX5" s="23" t="s">
        <v>229</v>
      </c>
      <c r="AY5" s="23" t="s">
        <v>996</v>
      </c>
      <c r="AZ5" s="23" t="s">
        <v>997</v>
      </c>
      <c r="BA5" s="23" t="s">
        <v>998</v>
      </c>
      <c r="BB5" s="23" t="s">
        <v>999</v>
      </c>
      <c r="BC5" s="23" t="s">
        <v>1000</v>
      </c>
      <c r="BD5" s="23" t="s">
        <v>1001</v>
      </c>
      <c r="BE5" s="23" t="s">
        <v>1002</v>
      </c>
      <c r="BF5" s="23" t="s">
        <v>1003</v>
      </c>
      <c r="BG5" s="23" t="s">
        <v>1004</v>
      </c>
      <c r="BH5" s="23" t="s">
        <v>1005</v>
      </c>
      <c r="BI5" s="23" t="s">
        <v>1006</v>
      </c>
      <c r="BJ5" s="23" t="s">
        <v>1007</v>
      </c>
      <c r="BK5" s="23" t="s">
        <v>1008</v>
      </c>
      <c r="BL5" s="23" t="s">
        <v>1009</v>
      </c>
      <c r="BM5" s="23" t="s">
        <v>80</v>
      </c>
      <c r="BN5" s="23" t="s">
        <v>1010</v>
      </c>
      <c r="BO5" s="23" t="s">
        <v>1011</v>
      </c>
      <c r="BP5" s="23" t="s">
        <v>64</v>
      </c>
      <c r="BQ5" s="23" t="s">
        <v>1012</v>
      </c>
      <c r="BR5" s="23" t="s">
        <v>1013</v>
      </c>
      <c r="BS5" s="23" t="s">
        <v>1014</v>
      </c>
      <c r="BT5" s="23" t="s">
        <v>1015</v>
      </c>
      <c r="BU5" s="23" t="s">
        <v>1016</v>
      </c>
      <c r="BV5" s="23" t="s">
        <v>1017</v>
      </c>
      <c r="BW5" s="23" t="s">
        <v>1018</v>
      </c>
      <c r="BX5" s="23" t="s">
        <v>1019</v>
      </c>
      <c r="BY5" s="23" t="s">
        <v>999</v>
      </c>
      <c r="BZ5" s="23" t="s">
        <v>1020</v>
      </c>
      <c r="CA5" s="23" t="s">
        <v>1021</v>
      </c>
      <c r="CB5" s="23" t="s">
        <v>1022</v>
      </c>
      <c r="CC5" s="23" t="s">
        <v>1023</v>
      </c>
      <c r="CD5" s="23" t="s">
        <v>1024</v>
      </c>
      <c r="CE5" s="23" t="s">
        <v>64</v>
      </c>
      <c r="CF5" s="23" t="s">
        <v>1025</v>
      </c>
      <c r="CG5" s="23" t="s">
        <v>1026</v>
      </c>
      <c r="CH5" s="23" t="s">
        <v>1027</v>
      </c>
      <c r="CI5" s="23" t="s">
        <v>1028</v>
      </c>
      <c r="CJ5" s="23" t="s">
        <v>1029</v>
      </c>
      <c r="CK5" s="23" t="s">
        <v>391</v>
      </c>
      <c r="CL5" s="23" t="s">
        <v>1030</v>
      </c>
      <c r="CM5" s="23" t="s">
        <v>418</v>
      </c>
      <c r="CN5" s="23" t="s">
        <v>1031</v>
      </c>
      <c r="CO5" s="23" t="s">
        <v>376</v>
      </c>
      <c r="CP5" s="23" t="s">
        <v>1032</v>
      </c>
      <c r="CQ5" s="23" t="s">
        <v>1033</v>
      </c>
      <c r="CR5" s="23" t="s">
        <v>1034</v>
      </c>
      <c r="CS5" s="23" t="s">
        <v>1035</v>
      </c>
      <c r="CT5" s="23" t="s">
        <v>1036</v>
      </c>
      <c r="CU5" s="23" t="s">
        <v>1037</v>
      </c>
      <c r="CV5" s="23" t="s">
        <v>1038</v>
      </c>
    </row>
    <row r="6" customFormat="false" ht="15" hidden="false" customHeight="false" outlineLevel="0" collapsed="false">
      <c r="A6" s="23" t="s">
        <v>10</v>
      </c>
      <c r="B6" s="23" t="s">
        <v>57</v>
      </c>
      <c r="C6" s="23" t="s">
        <v>245</v>
      </c>
      <c r="D6" s="23" t="s">
        <v>246</v>
      </c>
      <c r="E6" s="23" t="s">
        <v>155</v>
      </c>
      <c r="F6" s="23" t="s">
        <v>155</v>
      </c>
      <c r="G6" s="23" t="s">
        <v>483</v>
      </c>
      <c r="H6" s="23" t="s">
        <v>1039</v>
      </c>
      <c r="I6" s="23" t="s">
        <v>155</v>
      </c>
      <c r="J6" s="23" t="s">
        <v>249</v>
      </c>
      <c r="K6" s="23" t="s">
        <v>276</v>
      </c>
      <c r="L6" s="23" t="s">
        <v>260</v>
      </c>
      <c r="M6" s="23" t="s">
        <v>1040</v>
      </c>
      <c r="N6" s="23" t="s">
        <v>986</v>
      </c>
      <c r="O6" s="23" t="s">
        <v>1041</v>
      </c>
      <c r="P6" s="23" t="s">
        <v>1042</v>
      </c>
      <c r="Q6" s="23" t="s">
        <v>1043</v>
      </c>
      <c r="R6" s="23" t="s">
        <v>1044</v>
      </c>
      <c r="S6" s="23" t="s">
        <v>274</v>
      </c>
      <c r="T6" s="23" t="s">
        <v>1045</v>
      </c>
      <c r="U6" s="23" t="s">
        <v>232</v>
      </c>
      <c r="V6" s="23" t="s">
        <v>1046</v>
      </c>
      <c r="W6" s="23" t="s">
        <v>974</v>
      </c>
      <c r="X6" s="23" t="s">
        <v>277</v>
      </c>
      <c r="Y6" s="23" t="s">
        <v>1047</v>
      </c>
      <c r="Z6" s="23" t="s">
        <v>99</v>
      </c>
      <c r="AA6" s="23" t="s">
        <v>276</v>
      </c>
      <c r="AB6" s="23" t="s">
        <v>1048</v>
      </c>
      <c r="AC6" s="23" t="s">
        <v>983</v>
      </c>
      <c r="AD6" s="23" t="s">
        <v>1049</v>
      </c>
      <c r="AE6" s="23" t="s">
        <v>910</v>
      </c>
      <c r="AF6" s="23" t="s">
        <v>922</v>
      </c>
      <c r="AG6" s="23" t="s">
        <v>1050</v>
      </c>
      <c r="AH6" s="23" t="s">
        <v>232</v>
      </c>
      <c r="AI6" s="23" t="s">
        <v>1051</v>
      </c>
      <c r="AJ6" s="23" t="s">
        <v>985</v>
      </c>
      <c r="AK6" s="23" t="s">
        <v>276</v>
      </c>
      <c r="AL6" s="23" t="s">
        <v>1052</v>
      </c>
      <c r="AM6" s="23" t="s">
        <v>985</v>
      </c>
      <c r="AN6" s="23" t="s">
        <v>1053</v>
      </c>
      <c r="AO6" s="23" t="s">
        <v>274</v>
      </c>
      <c r="AP6" s="23" t="s">
        <v>256</v>
      </c>
      <c r="AQ6" s="23" t="s">
        <v>468</v>
      </c>
      <c r="AR6" s="23" t="s">
        <v>1054</v>
      </c>
      <c r="AS6" s="23" t="s">
        <v>61</v>
      </c>
      <c r="AT6" s="23" t="s">
        <v>1055</v>
      </c>
      <c r="AU6" s="23" t="s">
        <v>1056</v>
      </c>
      <c r="AV6" s="23" t="s">
        <v>1057</v>
      </c>
      <c r="AW6" s="23" t="s">
        <v>263</v>
      </c>
      <c r="AX6" s="23" t="s">
        <v>271</v>
      </c>
      <c r="AY6" s="23" t="s">
        <v>1058</v>
      </c>
      <c r="AZ6" s="23" t="s">
        <v>1059</v>
      </c>
      <c r="BA6" s="23" t="s">
        <v>1060</v>
      </c>
      <c r="BB6" s="23" t="s">
        <v>1061</v>
      </c>
      <c r="BC6" s="23" t="s">
        <v>1000</v>
      </c>
      <c r="BD6" s="23" t="s">
        <v>1001</v>
      </c>
      <c r="BE6" s="23" t="s">
        <v>1062</v>
      </c>
      <c r="BF6" s="23" t="s">
        <v>1063</v>
      </c>
      <c r="BG6" s="23" t="s">
        <v>1005</v>
      </c>
      <c r="BH6" s="23" t="s">
        <v>994</v>
      </c>
      <c r="BI6" s="23" t="s">
        <v>1064</v>
      </c>
      <c r="BJ6" s="23" t="s">
        <v>960</v>
      </c>
      <c r="BK6" s="23" t="s">
        <v>1065</v>
      </c>
      <c r="BL6" s="23" t="s">
        <v>1066</v>
      </c>
      <c r="BM6" s="23" t="s">
        <v>1067</v>
      </c>
      <c r="BN6" s="23" t="s">
        <v>1068</v>
      </c>
      <c r="BO6" s="23" t="s">
        <v>1069</v>
      </c>
      <c r="BP6" s="23" t="s">
        <v>1070</v>
      </c>
      <c r="BQ6" s="23" t="s">
        <v>1071</v>
      </c>
      <c r="BR6" s="23" t="s">
        <v>1072</v>
      </c>
      <c r="BS6" s="23" t="s">
        <v>1073</v>
      </c>
      <c r="BT6" s="23" t="s">
        <v>1074</v>
      </c>
      <c r="BU6" s="23" t="s">
        <v>74</v>
      </c>
      <c r="BV6" s="23" t="s">
        <v>1075</v>
      </c>
      <c r="BW6" s="23" t="s">
        <v>1076</v>
      </c>
      <c r="BX6" s="23" t="s">
        <v>94</v>
      </c>
      <c r="BY6" s="23" t="s">
        <v>1065</v>
      </c>
      <c r="BZ6" s="23" t="s">
        <v>1077</v>
      </c>
      <c r="CA6" s="23" t="s">
        <v>1078</v>
      </c>
      <c r="CB6" s="23" t="s">
        <v>1079</v>
      </c>
      <c r="CC6" s="23" t="s">
        <v>109</v>
      </c>
      <c r="CD6" s="23" t="s">
        <v>357</v>
      </c>
      <c r="CE6" s="23" t="s">
        <v>1080</v>
      </c>
      <c r="CF6" s="23" t="s">
        <v>934</v>
      </c>
      <c r="CG6" s="23" t="s">
        <v>1081</v>
      </c>
      <c r="CH6" s="23" t="s">
        <v>950</v>
      </c>
      <c r="CI6" s="23" t="s">
        <v>1082</v>
      </c>
      <c r="CJ6" s="23" t="s">
        <v>1083</v>
      </c>
      <c r="CK6" s="23" t="s">
        <v>1084</v>
      </c>
      <c r="CL6" s="23" t="s">
        <v>1085</v>
      </c>
      <c r="CM6" s="23" t="s">
        <v>432</v>
      </c>
      <c r="CN6" s="23" t="s">
        <v>1086</v>
      </c>
      <c r="CO6" s="23" t="s">
        <v>992</v>
      </c>
      <c r="CP6" s="23" t="s">
        <v>1082</v>
      </c>
      <c r="CQ6" s="23" t="s">
        <v>1087</v>
      </c>
      <c r="CR6" s="23" t="s">
        <v>1088</v>
      </c>
      <c r="CS6" s="23" t="s">
        <v>1089</v>
      </c>
      <c r="CT6" s="23" t="s">
        <v>961</v>
      </c>
      <c r="CU6" s="23" t="s">
        <v>1090</v>
      </c>
      <c r="CV6" s="23" t="s">
        <v>1091</v>
      </c>
    </row>
    <row r="7" customFormat="false" ht="15" hidden="false" customHeight="false" outlineLevel="0" collapsed="false">
      <c r="A7" s="23" t="s">
        <v>11</v>
      </c>
      <c r="B7" s="23" t="s">
        <v>62</v>
      </c>
      <c r="C7" s="23" t="s">
        <v>286</v>
      </c>
      <c r="D7" s="23" t="s">
        <v>288</v>
      </c>
      <c r="E7" s="23" t="s">
        <v>268</v>
      </c>
      <c r="F7" s="23" t="s">
        <v>483</v>
      </c>
      <c r="G7" s="23" t="s">
        <v>483</v>
      </c>
      <c r="H7" s="23" t="s">
        <v>920</v>
      </c>
      <c r="I7" s="23" t="s">
        <v>99</v>
      </c>
      <c r="J7" s="23" t="s">
        <v>291</v>
      </c>
      <c r="K7" s="23" t="s">
        <v>323</v>
      </c>
      <c r="L7" s="23" t="s">
        <v>306</v>
      </c>
      <c r="M7" s="23" t="s">
        <v>1092</v>
      </c>
      <c r="N7" s="23" t="s">
        <v>1048</v>
      </c>
      <c r="O7" s="23" t="s">
        <v>986</v>
      </c>
      <c r="P7" s="23" t="s">
        <v>973</v>
      </c>
      <c r="Q7" s="23" t="s">
        <v>985</v>
      </c>
      <c r="R7" s="23" t="s">
        <v>1093</v>
      </c>
      <c r="S7" s="23" t="s">
        <v>322</v>
      </c>
      <c r="T7" s="23" t="s">
        <v>1094</v>
      </c>
      <c r="U7" s="23" t="s">
        <v>99</v>
      </c>
      <c r="V7" s="23" t="s">
        <v>234</v>
      </c>
      <c r="W7" s="23" t="s">
        <v>1048</v>
      </c>
      <c r="X7" s="23" t="s">
        <v>324</v>
      </c>
      <c r="Y7" s="23" t="s">
        <v>1095</v>
      </c>
      <c r="Z7" s="23" t="s">
        <v>983</v>
      </c>
      <c r="AA7" s="23" t="s">
        <v>1096</v>
      </c>
      <c r="AB7" s="23" t="s">
        <v>276</v>
      </c>
      <c r="AC7" s="23" t="s">
        <v>99</v>
      </c>
      <c r="AD7" s="23" t="s">
        <v>989</v>
      </c>
      <c r="AE7" s="23" t="s">
        <v>1097</v>
      </c>
      <c r="AF7" s="23" t="s">
        <v>99</v>
      </c>
      <c r="AG7" s="23" t="s">
        <v>1098</v>
      </c>
      <c r="AH7" s="23" t="s">
        <v>983</v>
      </c>
      <c r="AI7" s="23" t="s">
        <v>1099</v>
      </c>
      <c r="AJ7" s="23" t="s">
        <v>99</v>
      </c>
      <c r="AK7" s="23" t="s">
        <v>232</v>
      </c>
      <c r="AL7" s="23" t="s">
        <v>985</v>
      </c>
      <c r="AM7" s="23" t="s">
        <v>985</v>
      </c>
      <c r="AN7" s="23" t="s">
        <v>1100</v>
      </c>
      <c r="AO7" s="23" t="s">
        <v>322</v>
      </c>
      <c r="AP7" s="23" t="s">
        <v>302</v>
      </c>
      <c r="AQ7" s="23" t="s">
        <v>1101</v>
      </c>
      <c r="AR7" s="23" t="s">
        <v>1102</v>
      </c>
      <c r="AS7" s="23" t="s">
        <v>66</v>
      </c>
      <c r="AT7" s="23" t="s">
        <v>1103</v>
      </c>
      <c r="AU7" s="23" t="s">
        <v>1104</v>
      </c>
      <c r="AV7" s="23" t="s">
        <v>1105</v>
      </c>
      <c r="AW7" s="23" t="s">
        <v>308</v>
      </c>
      <c r="AX7" s="23" t="s">
        <v>319</v>
      </c>
      <c r="AY7" s="23" t="s">
        <v>1106</v>
      </c>
      <c r="AZ7" s="23" t="s">
        <v>1107</v>
      </c>
      <c r="BA7" s="23" t="s">
        <v>1108</v>
      </c>
      <c r="BB7" s="23" t="s">
        <v>1109</v>
      </c>
      <c r="BC7" s="23" t="s">
        <v>932</v>
      </c>
      <c r="BD7" s="23" t="s">
        <v>1001</v>
      </c>
      <c r="BE7" s="23" t="s">
        <v>1110</v>
      </c>
      <c r="BF7" s="23" t="s">
        <v>1003</v>
      </c>
      <c r="BG7" s="23" t="s">
        <v>69</v>
      </c>
      <c r="BH7" s="23" t="s">
        <v>1111</v>
      </c>
      <c r="BI7" s="23" t="s">
        <v>1112</v>
      </c>
      <c r="BJ7" s="23" t="s">
        <v>1113</v>
      </c>
      <c r="BK7" s="23" t="s">
        <v>1114</v>
      </c>
      <c r="BL7" s="23" t="s">
        <v>1115</v>
      </c>
      <c r="BM7" s="23" t="s">
        <v>1116</v>
      </c>
      <c r="BN7" s="23" t="s">
        <v>1117</v>
      </c>
      <c r="BO7" s="23" t="s">
        <v>1118</v>
      </c>
      <c r="BP7" s="23" t="s">
        <v>1119</v>
      </c>
      <c r="BQ7" s="23" t="s">
        <v>1120</v>
      </c>
      <c r="BR7" s="23" t="s">
        <v>1121</v>
      </c>
      <c r="BS7" s="23" t="s">
        <v>969</v>
      </c>
      <c r="BT7" s="23" t="s">
        <v>1122</v>
      </c>
      <c r="BU7" s="23" t="s">
        <v>1123</v>
      </c>
      <c r="BV7" s="23" t="s">
        <v>1124</v>
      </c>
      <c r="BW7" s="23" t="s">
        <v>1077</v>
      </c>
      <c r="BX7" s="23" t="s">
        <v>1125</v>
      </c>
      <c r="BY7" s="23" t="s">
        <v>1126</v>
      </c>
      <c r="BZ7" s="23" t="s">
        <v>1127</v>
      </c>
      <c r="CA7" s="23" t="s">
        <v>950</v>
      </c>
      <c r="CB7" s="23" t="s">
        <v>1128</v>
      </c>
      <c r="CC7" s="23" t="s">
        <v>1129</v>
      </c>
      <c r="CD7" s="23" t="s">
        <v>1130</v>
      </c>
      <c r="CE7" s="23" t="s">
        <v>1131</v>
      </c>
      <c r="CF7" s="23" t="s">
        <v>1132</v>
      </c>
      <c r="CG7" s="23" t="s">
        <v>1133</v>
      </c>
      <c r="CH7" s="23" t="s">
        <v>1134</v>
      </c>
      <c r="CI7" s="23" t="s">
        <v>1135</v>
      </c>
      <c r="CJ7" s="23" t="s">
        <v>1133</v>
      </c>
      <c r="CK7" s="23" t="s">
        <v>1136</v>
      </c>
      <c r="CL7" s="23" t="s">
        <v>1137</v>
      </c>
      <c r="CM7" s="23" t="s">
        <v>1138</v>
      </c>
      <c r="CN7" s="23" t="s">
        <v>1139</v>
      </c>
      <c r="CO7" s="23" t="s">
        <v>1110</v>
      </c>
      <c r="CP7" s="23" t="s">
        <v>1066</v>
      </c>
      <c r="CQ7" s="23" t="s">
        <v>1140</v>
      </c>
      <c r="CR7" s="23" t="s">
        <v>1141</v>
      </c>
      <c r="CS7" s="23" t="s">
        <v>1142</v>
      </c>
      <c r="CT7" s="23" t="s">
        <v>435</v>
      </c>
      <c r="CU7" s="23" t="s">
        <v>1143</v>
      </c>
      <c r="CV7" s="23" t="s">
        <v>1144</v>
      </c>
    </row>
    <row r="8" customFormat="false" ht="15" hidden="false" customHeight="false" outlineLevel="0" collapsed="false">
      <c r="A8" s="23" t="s">
        <v>12</v>
      </c>
      <c r="B8" s="23" t="s">
        <v>67</v>
      </c>
      <c r="C8" s="23" t="s">
        <v>331</v>
      </c>
      <c r="D8" s="23" t="s">
        <v>332</v>
      </c>
      <c r="E8" s="23" t="s">
        <v>483</v>
      </c>
      <c r="F8" s="23" t="s">
        <v>155</v>
      </c>
      <c r="G8" s="23" t="s">
        <v>483</v>
      </c>
      <c r="H8" s="23" t="s">
        <v>1145</v>
      </c>
      <c r="I8" s="23" t="s">
        <v>155</v>
      </c>
      <c r="J8" s="23" t="s">
        <v>335</v>
      </c>
      <c r="K8" s="23" t="s">
        <v>365</v>
      </c>
      <c r="L8" s="23" t="s">
        <v>347</v>
      </c>
      <c r="M8" s="23" t="s">
        <v>1146</v>
      </c>
      <c r="N8" s="23" t="s">
        <v>1147</v>
      </c>
      <c r="O8" s="23" t="s">
        <v>1148</v>
      </c>
      <c r="P8" s="23" t="s">
        <v>1149</v>
      </c>
      <c r="Q8" s="23" t="s">
        <v>1150</v>
      </c>
      <c r="R8" s="23" t="s">
        <v>1151</v>
      </c>
      <c r="S8" s="23" t="s">
        <v>1152</v>
      </c>
      <c r="T8" s="23" t="s">
        <v>1153</v>
      </c>
      <c r="U8" s="23" t="s">
        <v>402</v>
      </c>
      <c r="V8" s="23" t="s">
        <v>1154</v>
      </c>
      <c r="W8" s="23" t="s">
        <v>1044</v>
      </c>
      <c r="X8" s="23" t="s">
        <v>366</v>
      </c>
      <c r="Y8" s="23" t="s">
        <v>1155</v>
      </c>
      <c r="Z8" s="23" t="s">
        <v>987</v>
      </c>
      <c r="AA8" s="23" t="s">
        <v>1156</v>
      </c>
      <c r="AB8" s="23" t="s">
        <v>1157</v>
      </c>
      <c r="AC8" s="23" t="s">
        <v>1158</v>
      </c>
      <c r="AD8" s="23" t="s">
        <v>1159</v>
      </c>
      <c r="AE8" s="23" t="s">
        <v>1160</v>
      </c>
      <c r="AF8" s="23" t="s">
        <v>1161</v>
      </c>
      <c r="AG8" s="23" t="s">
        <v>1162</v>
      </c>
      <c r="AH8" s="23" t="s">
        <v>1163</v>
      </c>
      <c r="AI8" s="23" t="s">
        <v>771</v>
      </c>
      <c r="AJ8" s="23" t="s">
        <v>1164</v>
      </c>
      <c r="AK8" s="23" t="s">
        <v>1165</v>
      </c>
      <c r="AL8" s="23" t="s">
        <v>1166</v>
      </c>
      <c r="AM8" s="23" t="s">
        <v>1167</v>
      </c>
      <c r="AN8" s="23" t="s">
        <v>1168</v>
      </c>
      <c r="AO8" s="23" t="s">
        <v>363</v>
      </c>
      <c r="AP8" s="23" t="s">
        <v>343</v>
      </c>
      <c r="AQ8" s="23" t="s">
        <v>1169</v>
      </c>
      <c r="AR8" s="23" t="s">
        <v>992</v>
      </c>
      <c r="AS8" s="23" t="s">
        <v>71</v>
      </c>
      <c r="AT8" s="23" t="s">
        <v>1170</v>
      </c>
      <c r="AU8" s="23" t="s">
        <v>1171</v>
      </c>
      <c r="AV8" s="23" t="s">
        <v>1104</v>
      </c>
      <c r="AW8" s="23" t="s">
        <v>349</v>
      </c>
      <c r="AX8" s="23" t="s">
        <v>360</v>
      </c>
      <c r="AY8" s="23" t="s">
        <v>1172</v>
      </c>
      <c r="AZ8" s="23" t="s">
        <v>1173</v>
      </c>
      <c r="BA8" s="23" t="s">
        <v>1174</v>
      </c>
      <c r="BB8" s="23" t="s">
        <v>931</v>
      </c>
      <c r="BC8" s="23" t="s">
        <v>1000</v>
      </c>
      <c r="BD8" s="23" t="s">
        <v>1001</v>
      </c>
      <c r="BE8" s="23" t="s">
        <v>1175</v>
      </c>
      <c r="BF8" s="23" t="s">
        <v>1063</v>
      </c>
      <c r="BG8" s="23" t="s">
        <v>1176</v>
      </c>
      <c r="BH8" s="23" t="s">
        <v>1177</v>
      </c>
      <c r="BI8" s="23" t="s">
        <v>1178</v>
      </c>
      <c r="BJ8" s="23" t="s">
        <v>1179</v>
      </c>
      <c r="BK8" s="23" t="s">
        <v>80</v>
      </c>
      <c r="BL8" s="23" t="s">
        <v>1180</v>
      </c>
      <c r="BM8" s="23" t="s">
        <v>1181</v>
      </c>
      <c r="BN8" s="23" t="s">
        <v>337</v>
      </c>
      <c r="BO8" s="23" t="s">
        <v>1182</v>
      </c>
      <c r="BP8" s="23" t="s">
        <v>1183</v>
      </c>
      <c r="BQ8" s="23" t="s">
        <v>1184</v>
      </c>
      <c r="BR8" s="23" t="s">
        <v>1015</v>
      </c>
      <c r="BS8" s="23" t="s">
        <v>1185</v>
      </c>
      <c r="BT8" s="23" t="s">
        <v>1186</v>
      </c>
      <c r="BU8" s="23" t="s">
        <v>1187</v>
      </c>
      <c r="BV8" s="23" t="s">
        <v>747</v>
      </c>
      <c r="BW8" s="23" t="s">
        <v>1087</v>
      </c>
      <c r="BX8" s="23" t="s">
        <v>1188</v>
      </c>
      <c r="BY8" s="23" t="s">
        <v>1189</v>
      </c>
      <c r="BZ8" s="23" t="s">
        <v>1190</v>
      </c>
      <c r="CA8" s="23" t="s">
        <v>1191</v>
      </c>
      <c r="CB8" s="23" t="s">
        <v>90</v>
      </c>
      <c r="CC8" s="23" t="s">
        <v>634</v>
      </c>
      <c r="CD8" s="23" t="s">
        <v>482</v>
      </c>
      <c r="CE8" s="23" t="s">
        <v>1192</v>
      </c>
      <c r="CF8" s="23" t="s">
        <v>114</v>
      </c>
      <c r="CG8" s="23" t="s">
        <v>262</v>
      </c>
      <c r="CH8" s="23" t="s">
        <v>956</v>
      </c>
      <c r="CI8" s="23" t="s">
        <v>1193</v>
      </c>
      <c r="CJ8" s="23" t="s">
        <v>1194</v>
      </c>
      <c r="CK8" s="23" t="s">
        <v>1195</v>
      </c>
      <c r="CL8" s="23" t="s">
        <v>1196</v>
      </c>
      <c r="CM8" s="23" t="s">
        <v>1197</v>
      </c>
      <c r="CN8" s="23" t="s">
        <v>1198</v>
      </c>
      <c r="CO8" s="23" t="s">
        <v>1182</v>
      </c>
      <c r="CP8" s="23" t="s">
        <v>1199</v>
      </c>
      <c r="CQ8" s="23" t="s">
        <v>1200</v>
      </c>
      <c r="CR8" s="23" t="s">
        <v>562</v>
      </c>
      <c r="CS8" s="23" t="s">
        <v>1201</v>
      </c>
      <c r="CT8" s="23" t="s">
        <v>1202</v>
      </c>
      <c r="CU8" s="23" t="s">
        <v>1186</v>
      </c>
      <c r="CV8" s="23" t="s">
        <v>1014</v>
      </c>
    </row>
    <row r="9" customFormat="false" ht="15" hidden="false" customHeight="false" outlineLevel="0" collapsed="false">
      <c r="A9" s="23" t="s">
        <v>13</v>
      </c>
      <c r="B9" s="23" t="s">
        <v>72</v>
      </c>
      <c r="C9" s="23" t="s">
        <v>373</v>
      </c>
      <c r="D9" s="23" t="s">
        <v>288</v>
      </c>
      <c r="E9" s="23" t="s">
        <v>416</v>
      </c>
      <c r="F9" s="23" t="s">
        <v>99</v>
      </c>
      <c r="G9" s="23" t="s">
        <v>483</v>
      </c>
      <c r="H9" s="23" t="s">
        <v>1203</v>
      </c>
      <c r="I9" s="23" t="s">
        <v>99</v>
      </c>
      <c r="J9" s="23" t="s">
        <v>376</v>
      </c>
      <c r="K9" s="23" t="s">
        <v>404</v>
      </c>
      <c r="L9" s="23" t="s">
        <v>387</v>
      </c>
      <c r="M9" s="23" t="s">
        <v>1204</v>
      </c>
      <c r="N9" s="23" t="s">
        <v>1205</v>
      </c>
      <c r="O9" s="23" t="s">
        <v>986</v>
      </c>
      <c r="P9" s="23" t="s">
        <v>1206</v>
      </c>
      <c r="Q9" s="23" t="s">
        <v>983</v>
      </c>
      <c r="R9" s="23" t="s">
        <v>1207</v>
      </c>
      <c r="S9" s="23" t="s">
        <v>985</v>
      </c>
      <c r="T9" s="23" t="s">
        <v>1208</v>
      </c>
      <c r="U9" s="23" t="s">
        <v>983</v>
      </c>
      <c r="V9" s="23" t="s">
        <v>1209</v>
      </c>
      <c r="W9" s="23" t="s">
        <v>1210</v>
      </c>
      <c r="X9" s="23" t="s">
        <v>406</v>
      </c>
      <c r="Y9" s="23" t="s">
        <v>1047</v>
      </c>
      <c r="Z9" s="23" t="s">
        <v>986</v>
      </c>
      <c r="AA9" s="23" t="s">
        <v>1211</v>
      </c>
      <c r="AB9" s="23" t="s">
        <v>978</v>
      </c>
      <c r="AC9" s="23" t="s">
        <v>983</v>
      </c>
      <c r="AD9" s="23" t="s">
        <v>983</v>
      </c>
      <c r="AE9" s="23" t="s">
        <v>1211</v>
      </c>
      <c r="AF9" s="23" t="s">
        <v>99</v>
      </c>
      <c r="AG9" s="23" t="s">
        <v>406</v>
      </c>
      <c r="AH9" s="23" t="s">
        <v>1212</v>
      </c>
      <c r="AI9" s="23" t="s">
        <v>912</v>
      </c>
      <c r="AJ9" s="23" t="s">
        <v>232</v>
      </c>
      <c r="AK9" s="23" t="s">
        <v>232</v>
      </c>
      <c r="AL9" s="23" t="s">
        <v>99</v>
      </c>
      <c r="AM9" s="23" t="s">
        <v>983</v>
      </c>
      <c r="AN9" s="23" t="s">
        <v>1213</v>
      </c>
      <c r="AO9" s="23" t="s">
        <v>402</v>
      </c>
      <c r="AP9" s="23" t="s">
        <v>383</v>
      </c>
      <c r="AQ9" s="23" t="s">
        <v>1214</v>
      </c>
      <c r="AR9" s="23" t="s">
        <v>101</v>
      </c>
      <c r="AS9" s="23" t="s">
        <v>76</v>
      </c>
      <c r="AT9" s="23" t="s">
        <v>1215</v>
      </c>
      <c r="AU9" s="23" t="s">
        <v>1216</v>
      </c>
      <c r="AV9" s="23" t="s">
        <v>534</v>
      </c>
      <c r="AW9" s="23" t="s">
        <v>390</v>
      </c>
      <c r="AX9" s="23" t="s">
        <v>399</v>
      </c>
      <c r="AY9" s="23" t="s">
        <v>1217</v>
      </c>
      <c r="AZ9" s="23" t="s">
        <v>1218</v>
      </c>
      <c r="BA9" s="23" t="s">
        <v>1108</v>
      </c>
      <c r="BB9" s="23" t="s">
        <v>999</v>
      </c>
      <c r="BC9" s="23" t="s">
        <v>1219</v>
      </c>
      <c r="BD9" s="23" t="s">
        <v>1001</v>
      </c>
      <c r="BE9" s="23" t="s">
        <v>958</v>
      </c>
      <c r="BF9" s="23" t="s">
        <v>1003</v>
      </c>
      <c r="BG9" s="23" t="s">
        <v>1220</v>
      </c>
      <c r="BH9" s="23" t="s">
        <v>1221</v>
      </c>
      <c r="BI9" s="23" t="s">
        <v>645</v>
      </c>
      <c r="BJ9" s="23" t="s">
        <v>1222</v>
      </c>
      <c r="BK9" s="23" t="s">
        <v>1223</v>
      </c>
      <c r="BL9" s="23" t="s">
        <v>1224</v>
      </c>
      <c r="BM9" s="23" t="s">
        <v>1225</v>
      </c>
      <c r="BN9" s="23" t="s">
        <v>1226</v>
      </c>
      <c r="BO9" s="23" t="s">
        <v>1227</v>
      </c>
      <c r="BP9" s="23" t="s">
        <v>1228</v>
      </c>
      <c r="BQ9" s="23" t="s">
        <v>1229</v>
      </c>
      <c r="BR9" s="23" t="s">
        <v>64</v>
      </c>
      <c r="BS9" s="23" t="s">
        <v>1011</v>
      </c>
      <c r="BT9" s="23" t="s">
        <v>1230</v>
      </c>
      <c r="BU9" s="23" t="s">
        <v>1231</v>
      </c>
      <c r="BV9" s="23" t="s">
        <v>1232</v>
      </c>
      <c r="BW9" s="23" t="s">
        <v>1233</v>
      </c>
      <c r="BX9" s="23" t="s">
        <v>1234</v>
      </c>
      <c r="BY9" s="23" t="s">
        <v>999</v>
      </c>
      <c r="BZ9" s="23" t="s">
        <v>1177</v>
      </c>
      <c r="CA9" s="23" t="s">
        <v>1235</v>
      </c>
      <c r="CB9" s="23" t="s">
        <v>1236</v>
      </c>
      <c r="CC9" s="23" t="s">
        <v>1237</v>
      </c>
      <c r="CD9" s="23" t="s">
        <v>1238</v>
      </c>
      <c r="CE9" s="23" t="s">
        <v>1239</v>
      </c>
      <c r="CF9" s="23" t="s">
        <v>1240</v>
      </c>
      <c r="CG9" s="23" t="s">
        <v>1241</v>
      </c>
      <c r="CH9" s="23" t="s">
        <v>1242</v>
      </c>
      <c r="CI9" s="23" t="s">
        <v>66</v>
      </c>
      <c r="CJ9" s="23" t="s">
        <v>1028</v>
      </c>
      <c r="CK9" s="23" t="s">
        <v>1243</v>
      </c>
      <c r="CL9" s="23" t="s">
        <v>1244</v>
      </c>
      <c r="CM9" s="23" t="s">
        <v>161</v>
      </c>
      <c r="CN9" s="23" t="s">
        <v>1218</v>
      </c>
      <c r="CO9" s="23" t="s">
        <v>105</v>
      </c>
      <c r="CP9" s="23" t="s">
        <v>1230</v>
      </c>
      <c r="CQ9" s="23" t="s">
        <v>1245</v>
      </c>
      <c r="CR9" s="23" t="s">
        <v>1246</v>
      </c>
      <c r="CS9" s="23" t="s">
        <v>1247</v>
      </c>
      <c r="CT9" s="23" t="s">
        <v>933</v>
      </c>
      <c r="CU9" s="23" t="s">
        <v>1248</v>
      </c>
      <c r="CV9" s="23" t="s">
        <v>1249</v>
      </c>
    </row>
    <row r="10" customFormat="false" ht="15" hidden="false" customHeight="false" outlineLevel="0" collapsed="false">
      <c r="A10" s="23" t="s">
        <v>14</v>
      </c>
      <c r="B10" s="23" t="s">
        <v>77</v>
      </c>
      <c r="C10" s="23" t="s">
        <v>413</v>
      </c>
      <c r="D10" s="23" t="s">
        <v>415</v>
      </c>
      <c r="E10" s="23" t="s">
        <v>1250</v>
      </c>
      <c r="F10" s="23" t="s">
        <v>268</v>
      </c>
      <c r="G10" s="23" t="s">
        <v>483</v>
      </c>
      <c r="H10" s="23" t="s">
        <v>1251</v>
      </c>
      <c r="I10" s="23" t="s">
        <v>99</v>
      </c>
      <c r="J10" s="23" t="s">
        <v>418</v>
      </c>
      <c r="K10" s="23" t="s">
        <v>448</v>
      </c>
      <c r="L10" s="23" t="s">
        <v>430</v>
      </c>
      <c r="M10" s="23" t="s">
        <v>1252</v>
      </c>
      <c r="N10" s="23" t="s">
        <v>1253</v>
      </c>
      <c r="O10" s="23" t="s">
        <v>1254</v>
      </c>
      <c r="P10" s="23" t="s">
        <v>1255</v>
      </c>
      <c r="Q10" s="23" t="s">
        <v>1256</v>
      </c>
      <c r="R10" s="23" t="s">
        <v>1257</v>
      </c>
      <c r="S10" s="23" t="s">
        <v>1258</v>
      </c>
      <c r="T10" s="23" t="s">
        <v>1259</v>
      </c>
      <c r="U10" s="23" t="s">
        <v>1260</v>
      </c>
      <c r="V10" s="23" t="s">
        <v>1261</v>
      </c>
      <c r="W10" s="23" t="s">
        <v>1262</v>
      </c>
      <c r="X10" s="23" t="s">
        <v>450</v>
      </c>
      <c r="Y10" s="23" t="s">
        <v>1263</v>
      </c>
      <c r="Z10" s="23" t="s">
        <v>1051</v>
      </c>
      <c r="AA10" s="23" t="s">
        <v>913</v>
      </c>
      <c r="AB10" s="23" t="s">
        <v>765</v>
      </c>
      <c r="AC10" s="23" t="s">
        <v>1264</v>
      </c>
      <c r="AD10" s="23" t="s">
        <v>989</v>
      </c>
      <c r="AE10" s="23" t="s">
        <v>976</v>
      </c>
      <c r="AF10" s="23" t="s">
        <v>989</v>
      </c>
      <c r="AG10" s="23" t="s">
        <v>1057</v>
      </c>
      <c r="AH10" s="23" t="s">
        <v>1265</v>
      </c>
      <c r="AI10" s="23" t="s">
        <v>1266</v>
      </c>
      <c r="AJ10" s="23" t="s">
        <v>912</v>
      </c>
      <c r="AK10" s="23" t="s">
        <v>905</v>
      </c>
      <c r="AL10" s="23" t="s">
        <v>493</v>
      </c>
      <c r="AM10" s="23" t="s">
        <v>323</v>
      </c>
      <c r="AN10" s="23" t="s">
        <v>1267</v>
      </c>
      <c r="AO10" s="23" t="s">
        <v>446</v>
      </c>
      <c r="AP10" s="23" t="s">
        <v>427</v>
      </c>
      <c r="AQ10" s="23" t="s">
        <v>1005</v>
      </c>
      <c r="AR10" s="23" t="s">
        <v>390</v>
      </c>
      <c r="AS10" s="23" t="s">
        <v>81</v>
      </c>
      <c r="AT10" s="23" t="s">
        <v>1268</v>
      </c>
      <c r="AU10" s="23" t="s">
        <v>1269</v>
      </c>
      <c r="AV10" s="23" t="s">
        <v>1270</v>
      </c>
      <c r="AW10" s="23" t="s">
        <v>432</v>
      </c>
      <c r="AX10" s="23" t="s">
        <v>443</v>
      </c>
      <c r="AY10" s="23" t="s">
        <v>1271</v>
      </c>
      <c r="AZ10" s="23" t="s">
        <v>1272</v>
      </c>
      <c r="BA10" s="23" t="s">
        <v>219</v>
      </c>
      <c r="BB10" s="23" t="s">
        <v>1273</v>
      </c>
      <c r="BC10" s="23" t="s">
        <v>1274</v>
      </c>
      <c r="BD10" s="23" t="s">
        <v>1001</v>
      </c>
      <c r="BE10" s="23" t="s">
        <v>1275</v>
      </c>
      <c r="BF10" s="23" t="s">
        <v>1003</v>
      </c>
      <c r="BG10" s="23" t="s">
        <v>377</v>
      </c>
      <c r="BH10" s="23" t="s">
        <v>1276</v>
      </c>
      <c r="BI10" s="23" t="s">
        <v>1277</v>
      </c>
      <c r="BJ10" s="23" t="s">
        <v>1278</v>
      </c>
      <c r="BK10" s="23" t="s">
        <v>1279</v>
      </c>
      <c r="BL10" s="23" t="s">
        <v>1280</v>
      </c>
      <c r="BM10" s="23" t="s">
        <v>1281</v>
      </c>
      <c r="BN10" s="23" t="s">
        <v>1282</v>
      </c>
      <c r="BO10" s="23" t="s">
        <v>944</v>
      </c>
      <c r="BP10" s="23" t="s">
        <v>1283</v>
      </c>
      <c r="BQ10" s="23" t="s">
        <v>1284</v>
      </c>
      <c r="BR10" s="23" t="s">
        <v>1180</v>
      </c>
      <c r="BS10" s="23" t="s">
        <v>932</v>
      </c>
      <c r="BT10" s="23" t="s">
        <v>336</v>
      </c>
      <c r="BU10" s="23" t="s">
        <v>1285</v>
      </c>
      <c r="BV10" s="23" t="s">
        <v>1286</v>
      </c>
      <c r="BW10" s="23" t="s">
        <v>1019</v>
      </c>
      <c r="BX10" s="23" t="s">
        <v>1287</v>
      </c>
      <c r="BY10" s="23" t="s">
        <v>1288</v>
      </c>
      <c r="BZ10" s="23" t="s">
        <v>1289</v>
      </c>
      <c r="CA10" s="23" t="s">
        <v>1290</v>
      </c>
      <c r="CB10" s="23" t="s">
        <v>1291</v>
      </c>
      <c r="CC10" s="23" t="s">
        <v>1292</v>
      </c>
      <c r="CD10" s="23" t="s">
        <v>1293</v>
      </c>
      <c r="CE10" s="23" t="s">
        <v>219</v>
      </c>
      <c r="CF10" s="23" t="s">
        <v>51</v>
      </c>
      <c r="CG10" s="23" t="s">
        <v>1294</v>
      </c>
      <c r="CH10" s="23" t="s">
        <v>1295</v>
      </c>
      <c r="CI10" s="23" t="s">
        <v>1296</v>
      </c>
      <c r="CJ10" s="23" t="s">
        <v>1297</v>
      </c>
      <c r="CK10" s="23" t="s">
        <v>1125</v>
      </c>
      <c r="CL10" s="23" t="s">
        <v>1298</v>
      </c>
      <c r="CM10" s="23" t="s">
        <v>1299</v>
      </c>
      <c r="CN10" s="23" t="s">
        <v>1275</v>
      </c>
      <c r="CO10" s="23" t="s">
        <v>1223</v>
      </c>
      <c r="CP10" s="23" t="s">
        <v>1300</v>
      </c>
      <c r="CQ10" s="23" t="s">
        <v>1301</v>
      </c>
      <c r="CR10" s="23" t="s">
        <v>1302</v>
      </c>
      <c r="CS10" s="23" t="s">
        <v>100</v>
      </c>
      <c r="CT10" s="23" t="s">
        <v>1303</v>
      </c>
      <c r="CU10" s="23" t="s">
        <v>1304</v>
      </c>
      <c r="CV10" s="23" t="s">
        <v>1305</v>
      </c>
    </row>
    <row r="11" customFormat="false" ht="15" hidden="false" customHeight="false" outlineLevel="0" collapsed="false">
      <c r="A11" s="23" t="s">
        <v>15</v>
      </c>
      <c r="B11" s="23" t="s">
        <v>82</v>
      </c>
      <c r="C11" s="23" t="s">
        <v>458</v>
      </c>
      <c r="D11" s="23" t="s">
        <v>459</v>
      </c>
      <c r="E11" s="23" t="s">
        <v>486</v>
      </c>
      <c r="F11" s="23" t="s">
        <v>99</v>
      </c>
      <c r="G11" s="23" t="s">
        <v>416</v>
      </c>
      <c r="H11" s="23" t="s">
        <v>1306</v>
      </c>
      <c r="I11" s="23" t="s">
        <v>155</v>
      </c>
      <c r="J11" s="23" t="s">
        <v>462</v>
      </c>
      <c r="K11" s="23" t="s">
        <v>492</v>
      </c>
      <c r="L11" s="23" t="s">
        <v>475</v>
      </c>
      <c r="M11" s="23" t="s">
        <v>1307</v>
      </c>
      <c r="N11" s="23" t="s">
        <v>912</v>
      </c>
      <c r="O11" s="23" t="s">
        <v>1308</v>
      </c>
      <c r="P11" s="23" t="s">
        <v>1309</v>
      </c>
      <c r="Q11" s="23" t="s">
        <v>976</v>
      </c>
      <c r="R11" s="23" t="s">
        <v>1310</v>
      </c>
      <c r="S11" s="23" t="s">
        <v>1311</v>
      </c>
      <c r="T11" s="23" t="s">
        <v>1312</v>
      </c>
      <c r="U11" s="23" t="s">
        <v>972</v>
      </c>
      <c r="V11" s="23" t="s">
        <v>1313</v>
      </c>
      <c r="W11" s="23" t="s">
        <v>1314</v>
      </c>
      <c r="X11" s="23" t="s">
        <v>493</v>
      </c>
      <c r="Y11" s="23" t="s">
        <v>1315</v>
      </c>
      <c r="Z11" s="23" t="s">
        <v>985</v>
      </c>
      <c r="AA11" s="23" t="s">
        <v>986</v>
      </c>
      <c r="AB11" s="23" t="s">
        <v>1316</v>
      </c>
      <c r="AC11" s="23" t="s">
        <v>1317</v>
      </c>
      <c r="AD11" s="23" t="s">
        <v>1096</v>
      </c>
      <c r="AE11" s="23" t="s">
        <v>989</v>
      </c>
      <c r="AF11" s="23" t="s">
        <v>232</v>
      </c>
      <c r="AG11" s="23" t="s">
        <v>1318</v>
      </c>
      <c r="AH11" s="23" t="s">
        <v>1319</v>
      </c>
      <c r="AI11" s="23" t="s">
        <v>1320</v>
      </c>
      <c r="AJ11" s="23" t="s">
        <v>232</v>
      </c>
      <c r="AK11" s="23" t="s">
        <v>984</v>
      </c>
      <c r="AL11" s="23" t="s">
        <v>1321</v>
      </c>
      <c r="AM11" s="23" t="s">
        <v>973</v>
      </c>
      <c r="AN11" s="23" t="s">
        <v>1322</v>
      </c>
      <c r="AO11" s="23" t="s">
        <v>490</v>
      </c>
      <c r="AP11" s="23" t="s">
        <v>471</v>
      </c>
      <c r="AQ11" s="23" t="s">
        <v>1323</v>
      </c>
      <c r="AR11" s="23" t="s">
        <v>1324</v>
      </c>
      <c r="AS11" s="23" t="s">
        <v>86</v>
      </c>
      <c r="AT11" s="23" t="s">
        <v>1325</v>
      </c>
      <c r="AU11" s="23" t="s">
        <v>1326</v>
      </c>
      <c r="AV11" s="23" t="s">
        <v>704</v>
      </c>
      <c r="AW11" s="23" t="s">
        <v>478</v>
      </c>
      <c r="AX11" s="23" t="s">
        <v>472</v>
      </c>
      <c r="AY11" s="23" t="s">
        <v>1327</v>
      </c>
      <c r="AZ11" s="23" t="s">
        <v>1328</v>
      </c>
      <c r="BA11" s="23" t="s">
        <v>1329</v>
      </c>
      <c r="BB11" s="23" t="s">
        <v>1330</v>
      </c>
      <c r="BC11" s="23" t="s">
        <v>1219</v>
      </c>
      <c r="BD11" s="23" t="s">
        <v>1331</v>
      </c>
      <c r="BE11" s="23" t="s">
        <v>998</v>
      </c>
      <c r="BF11" s="23" t="s">
        <v>1063</v>
      </c>
      <c r="BG11" s="23" t="s">
        <v>1332</v>
      </c>
      <c r="BH11" s="23" t="s">
        <v>1333</v>
      </c>
      <c r="BI11" s="23" t="s">
        <v>1334</v>
      </c>
      <c r="BJ11" s="23" t="s">
        <v>1176</v>
      </c>
      <c r="BK11" s="23" t="s">
        <v>1335</v>
      </c>
      <c r="BL11" s="23" t="s">
        <v>1336</v>
      </c>
      <c r="BM11" s="23" t="s">
        <v>1337</v>
      </c>
      <c r="BN11" s="23" t="s">
        <v>1338</v>
      </c>
      <c r="BO11" s="23" t="s">
        <v>968</v>
      </c>
      <c r="BP11" s="23" t="s">
        <v>1339</v>
      </c>
      <c r="BQ11" s="23" t="s">
        <v>1340</v>
      </c>
      <c r="BR11" s="23" t="s">
        <v>942</v>
      </c>
      <c r="BS11" s="23" t="s">
        <v>1223</v>
      </c>
      <c r="BT11" s="23" t="s">
        <v>957</v>
      </c>
      <c r="BU11" s="23" t="s">
        <v>1341</v>
      </c>
      <c r="BV11" s="23" t="s">
        <v>1342</v>
      </c>
      <c r="BW11" s="23" t="s">
        <v>1343</v>
      </c>
      <c r="BX11" s="23" t="s">
        <v>1240</v>
      </c>
      <c r="BY11" s="23" t="s">
        <v>1344</v>
      </c>
      <c r="BZ11" s="23" t="s">
        <v>1345</v>
      </c>
      <c r="CA11" s="23" t="s">
        <v>1346</v>
      </c>
      <c r="CB11" s="23" t="s">
        <v>1347</v>
      </c>
      <c r="CC11" s="23" t="s">
        <v>1089</v>
      </c>
      <c r="CD11" s="23" t="s">
        <v>1348</v>
      </c>
      <c r="CE11" s="23" t="s">
        <v>518</v>
      </c>
      <c r="CF11" s="23" t="s">
        <v>74</v>
      </c>
      <c r="CG11" s="23" t="s">
        <v>1027</v>
      </c>
      <c r="CH11" s="23" t="s">
        <v>1349</v>
      </c>
      <c r="CI11" s="23" t="s">
        <v>1350</v>
      </c>
      <c r="CJ11" s="23" t="s">
        <v>1351</v>
      </c>
      <c r="CK11" s="23" t="s">
        <v>1352</v>
      </c>
      <c r="CL11" s="23" t="s">
        <v>1353</v>
      </c>
      <c r="CM11" s="23" t="s">
        <v>1354</v>
      </c>
      <c r="CN11" s="23" t="s">
        <v>1355</v>
      </c>
      <c r="CO11" s="23" t="s">
        <v>1353</v>
      </c>
      <c r="CP11" s="23" t="s">
        <v>1356</v>
      </c>
      <c r="CQ11" s="23" t="s">
        <v>929</v>
      </c>
      <c r="CR11" s="23" t="s">
        <v>1357</v>
      </c>
      <c r="CS11" s="23" t="s">
        <v>1087</v>
      </c>
      <c r="CT11" s="23" t="s">
        <v>1358</v>
      </c>
      <c r="CU11" s="23" t="s">
        <v>1024</v>
      </c>
      <c r="CV11" s="23" t="s">
        <v>1359</v>
      </c>
    </row>
    <row r="12" customFormat="false" ht="15" hidden="false" customHeight="false" outlineLevel="0" collapsed="false">
      <c r="A12" s="23" t="s">
        <v>16</v>
      </c>
      <c r="B12" s="23" t="s">
        <v>87</v>
      </c>
      <c r="C12" s="23" t="s">
        <v>502</v>
      </c>
      <c r="D12" s="23" t="s">
        <v>503</v>
      </c>
      <c r="E12" s="23" t="s">
        <v>416</v>
      </c>
      <c r="F12" s="23" t="s">
        <v>268</v>
      </c>
      <c r="G12" s="23" t="s">
        <v>483</v>
      </c>
      <c r="H12" s="23" t="s">
        <v>1360</v>
      </c>
      <c r="I12" s="23" t="s">
        <v>155</v>
      </c>
      <c r="J12" s="23" t="s">
        <v>506</v>
      </c>
      <c r="K12" s="23" t="s">
        <v>533</v>
      </c>
      <c r="L12" s="23" t="s">
        <v>516</v>
      </c>
      <c r="M12" s="23" t="s">
        <v>1361</v>
      </c>
      <c r="N12" s="23" t="s">
        <v>1362</v>
      </c>
      <c r="O12" s="23" t="s">
        <v>1363</v>
      </c>
      <c r="P12" s="23" t="s">
        <v>1364</v>
      </c>
      <c r="Q12" s="23" t="s">
        <v>1365</v>
      </c>
      <c r="R12" s="23" t="s">
        <v>1362</v>
      </c>
      <c r="S12" s="23" t="s">
        <v>1366</v>
      </c>
      <c r="T12" s="23" t="s">
        <v>1163</v>
      </c>
      <c r="U12" s="23" t="s">
        <v>1367</v>
      </c>
      <c r="V12" s="23" t="s">
        <v>988</v>
      </c>
      <c r="W12" s="23" t="s">
        <v>1160</v>
      </c>
      <c r="X12" s="23" t="s">
        <v>534</v>
      </c>
      <c r="Y12" s="23" t="s">
        <v>1155</v>
      </c>
      <c r="Z12" s="23" t="s">
        <v>1048</v>
      </c>
      <c r="AA12" s="23" t="s">
        <v>1368</v>
      </c>
      <c r="AB12" s="23" t="s">
        <v>1369</v>
      </c>
      <c r="AC12" s="23" t="s">
        <v>989</v>
      </c>
      <c r="AD12" s="23" t="s">
        <v>978</v>
      </c>
      <c r="AE12" s="23" t="s">
        <v>1370</v>
      </c>
      <c r="AF12" s="23" t="s">
        <v>232</v>
      </c>
      <c r="AG12" s="23" t="s">
        <v>1162</v>
      </c>
      <c r="AH12" s="23" t="s">
        <v>493</v>
      </c>
      <c r="AI12" s="23" t="s">
        <v>1371</v>
      </c>
      <c r="AJ12" s="23" t="s">
        <v>985</v>
      </c>
      <c r="AK12" s="23" t="s">
        <v>276</v>
      </c>
      <c r="AL12" s="23" t="s">
        <v>1049</v>
      </c>
      <c r="AM12" s="23" t="s">
        <v>983</v>
      </c>
      <c r="AN12" s="23" t="s">
        <v>1372</v>
      </c>
      <c r="AO12" s="23" t="s">
        <v>531</v>
      </c>
      <c r="AP12" s="23" t="s">
        <v>513</v>
      </c>
      <c r="AQ12" s="23" t="s">
        <v>1299</v>
      </c>
      <c r="AR12" s="23" t="s">
        <v>1373</v>
      </c>
      <c r="AS12" s="23" t="s">
        <v>91</v>
      </c>
      <c r="AT12" s="23" t="s">
        <v>1268</v>
      </c>
      <c r="AU12" s="23" t="s">
        <v>1374</v>
      </c>
      <c r="AV12" s="23" t="s">
        <v>1375</v>
      </c>
      <c r="AW12" s="23" t="s">
        <v>519</v>
      </c>
      <c r="AX12" s="23" t="s">
        <v>528</v>
      </c>
      <c r="AY12" s="23" t="s">
        <v>1376</v>
      </c>
      <c r="AZ12" s="23" t="s">
        <v>1377</v>
      </c>
      <c r="BA12" s="23" t="s">
        <v>1378</v>
      </c>
      <c r="BB12" s="23" t="s">
        <v>999</v>
      </c>
      <c r="BC12" s="23" t="s">
        <v>1274</v>
      </c>
      <c r="BD12" s="23" t="s">
        <v>1001</v>
      </c>
      <c r="BE12" s="23" t="s">
        <v>1379</v>
      </c>
      <c r="BF12" s="23" t="s">
        <v>1063</v>
      </c>
      <c r="BG12" s="23" t="s">
        <v>1380</v>
      </c>
      <c r="BH12" s="23" t="s">
        <v>1381</v>
      </c>
      <c r="BI12" s="23" t="s">
        <v>1382</v>
      </c>
      <c r="BJ12" s="23" t="s">
        <v>1355</v>
      </c>
      <c r="BK12" s="23" t="s">
        <v>1383</v>
      </c>
      <c r="BL12" s="23" t="s">
        <v>1014</v>
      </c>
      <c r="BM12" s="23" t="s">
        <v>1384</v>
      </c>
      <c r="BN12" s="23" t="s">
        <v>1230</v>
      </c>
      <c r="BO12" s="23" t="s">
        <v>250</v>
      </c>
      <c r="BP12" s="23" t="s">
        <v>1353</v>
      </c>
      <c r="BQ12" s="23" t="s">
        <v>1385</v>
      </c>
      <c r="BR12" s="23" t="s">
        <v>1334</v>
      </c>
      <c r="BS12" s="23" t="s">
        <v>1386</v>
      </c>
      <c r="BT12" s="23" t="s">
        <v>1348</v>
      </c>
      <c r="BU12" s="23" t="s">
        <v>1387</v>
      </c>
      <c r="BV12" s="23" t="s">
        <v>1388</v>
      </c>
      <c r="BW12" s="23" t="s">
        <v>1112</v>
      </c>
      <c r="BX12" s="23" t="s">
        <v>1389</v>
      </c>
      <c r="BY12" s="23" t="s">
        <v>1390</v>
      </c>
      <c r="BZ12" s="23" t="s">
        <v>1391</v>
      </c>
      <c r="CA12" s="23" t="s">
        <v>79</v>
      </c>
      <c r="CB12" s="23" t="s">
        <v>1392</v>
      </c>
      <c r="CC12" s="23" t="s">
        <v>1234</v>
      </c>
      <c r="CD12" s="23" t="s">
        <v>944</v>
      </c>
      <c r="CE12" s="23" t="s">
        <v>1382</v>
      </c>
      <c r="CF12" s="23" t="s">
        <v>937</v>
      </c>
      <c r="CG12" s="23" t="s">
        <v>1126</v>
      </c>
      <c r="CH12" s="23" t="s">
        <v>1393</v>
      </c>
      <c r="CI12" s="23" t="s">
        <v>1088</v>
      </c>
      <c r="CJ12" s="23" t="s">
        <v>1333</v>
      </c>
      <c r="CK12" s="23" t="s">
        <v>958</v>
      </c>
      <c r="CL12" s="23" t="s">
        <v>1394</v>
      </c>
      <c r="CM12" s="23" t="s">
        <v>1395</v>
      </c>
      <c r="CN12" s="23" t="s">
        <v>1221</v>
      </c>
      <c r="CO12" s="23" t="s">
        <v>1332</v>
      </c>
      <c r="CP12" s="23" t="s">
        <v>1295</v>
      </c>
      <c r="CQ12" s="23" t="s">
        <v>1396</v>
      </c>
      <c r="CR12" s="23" t="s">
        <v>1351</v>
      </c>
      <c r="CS12" s="23" t="s">
        <v>1397</v>
      </c>
      <c r="CT12" s="23" t="s">
        <v>1398</v>
      </c>
      <c r="CU12" s="23" t="s">
        <v>1399</v>
      </c>
      <c r="CV12" s="23" t="s">
        <v>1400</v>
      </c>
    </row>
    <row r="13" customFormat="false" ht="15" hidden="false" customHeight="false" outlineLevel="0" collapsed="false">
      <c r="A13" s="23" t="s">
        <v>17</v>
      </c>
      <c r="B13" s="23" t="s">
        <v>92</v>
      </c>
      <c r="C13" s="23" t="s">
        <v>542</v>
      </c>
      <c r="D13" s="23" t="s">
        <v>543</v>
      </c>
      <c r="E13" s="23" t="s">
        <v>1250</v>
      </c>
      <c r="F13" s="23" t="s">
        <v>155</v>
      </c>
      <c r="G13" s="23" t="s">
        <v>483</v>
      </c>
      <c r="H13" s="23" t="s">
        <v>1401</v>
      </c>
      <c r="I13" s="23" t="s">
        <v>99</v>
      </c>
      <c r="J13" s="23" t="s">
        <v>546</v>
      </c>
      <c r="K13" s="23" t="s">
        <v>576</v>
      </c>
      <c r="L13" s="23" t="s">
        <v>560</v>
      </c>
      <c r="M13" s="23" t="s">
        <v>1402</v>
      </c>
      <c r="N13" s="23" t="s">
        <v>576</v>
      </c>
      <c r="O13" s="23" t="s">
        <v>1403</v>
      </c>
      <c r="P13" s="23" t="s">
        <v>1404</v>
      </c>
      <c r="Q13" s="23" t="s">
        <v>1405</v>
      </c>
      <c r="R13" s="23" t="s">
        <v>1406</v>
      </c>
      <c r="S13" s="23" t="s">
        <v>1407</v>
      </c>
      <c r="T13" s="23" t="s">
        <v>1408</v>
      </c>
      <c r="U13" s="23" t="s">
        <v>1409</v>
      </c>
      <c r="V13" s="23" t="s">
        <v>923</v>
      </c>
      <c r="W13" s="23" t="s">
        <v>1410</v>
      </c>
      <c r="X13" s="23" t="s">
        <v>578</v>
      </c>
      <c r="Y13" s="23" t="s">
        <v>1411</v>
      </c>
      <c r="Z13" s="23" t="s">
        <v>989</v>
      </c>
      <c r="AA13" s="23" t="s">
        <v>1412</v>
      </c>
      <c r="AB13" s="23" t="s">
        <v>1413</v>
      </c>
      <c r="AC13" s="23" t="s">
        <v>1044</v>
      </c>
      <c r="AD13" s="23" t="s">
        <v>1096</v>
      </c>
      <c r="AE13" s="23" t="s">
        <v>1414</v>
      </c>
      <c r="AF13" s="23" t="s">
        <v>322</v>
      </c>
      <c r="AG13" s="23" t="s">
        <v>1415</v>
      </c>
      <c r="AH13" s="23" t="s">
        <v>1416</v>
      </c>
      <c r="AI13" s="23" t="s">
        <v>923</v>
      </c>
      <c r="AJ13" s="23" t="s">
        <v>1051</v>
      </c>
      <c r="AK13" s="23" t="s">
        <v>978</v>
      </c>
      <c r="AL13" s="23" t="s">
        <v>1417</v>
      </c>
      <c r="AM13" s="23" t="s">
        <v>987</v>
      </c>
      <c r="AN13" s="23" t="s">
        <v>1418</v>
      </c>
      <c r="AO13" s="23" t="s">
        <v>366</v>
      </c>
      <c r="AP13" s="23" t="s">
        <v>556</v>
      </c>
      <c r="AQ13" s="23" t="s">
        <v>961</v>
      </c>
      <c r="AR13" s="23" t="s">
        <v>1419</v>
      </c>
      <c r="AS13" s="23" t="s">
        <v>96</v>
      </c>
      <c r="AT13" s="23" t="s">
        <v>1102</v>
      </c>
      <c r="AU13" s="23" t="s">
        <v>1120</v>
      </c>
      <c r="AV13" s="23" t="s">
        <v>1420</v>
      </c>
      <c r="AW13" s="23" t="s">
        <v>563</v>
      </c>
      <c r="AX13" s="23" t="s">
        <v>573</v>
      </c>
      <c r="AY13" s="23" t="s">
        <v>1421</v>
      </c>
      <c r="AZ13" s="23" t="s">
        <v>1422</v>
      </c>
      <c r="BA13" s="23" t="s">
        <v>1423</v>
      </c>
      <c r="BB13" s="23" t="s">
        <v>1273</v>
      </c>
      <c r="BC13" s="23" t="s">
        <v>1000</v>
      </c>
      <c r="BD13" s="23" t="s">
        <v>1001</v>
      </c>
      <c r="BE13" s="23" t="s">
        <v>298</v>
      </c>
      <c r="BF13" s="23" t="s">
        <v>1003</v>
      </c>
      <c r="BG13" s="23" t="s">
        <v>482</v>
      </c>
      <c r="BH13" s="23" t="s">
        <v>1424</v>
      </c>
      <c r="BI13" s="23" t="s">
        <v>1126</v>
      </c>
      <c r="BJ13" s="23" t="s">
        <v>1425</v>
      </c>
      <c r="BK13" s="23" t="s">
        <v>682</v>
      </c>
      <c r="BL13" s="23" t="s">
        <v>1426</v>
      </c>
      <c r="BM13" s="23" t="s">
        <v>564</v>
      </c>
      <c r="BN13" s="23" t="s">
        <v>1427</v>
      </c>
      <c r="BO13" s="23" t="s">
        <v>1428</v>
      </c>
      <c r="BP13" s="23" t="s">
        <v>1429</v>
      </c>
      <c r="BQ13" s="23" t="s">
        <v>719</v>
      </c>
      <c r="BR13" s="23" t="s">
        <v>418</v>
      </c>
      <c r="BS13" s="23" t="s">
        <v>1426</v>
      </c>
      <c r="BT13" s="23" t="s">
        <v>1430</v>
      </c>
      <c r="BU13" s="23" t="s">
        <v>1431</v>
      </c>
      <c r="BV13" s="23" t="s">
        <v>1338</v>
      </c>
      <c r="BW13" s="23" t="s">
        <v>1432</v>
      </c>
      <c r="BX13" s="23" t="s">
        <v>1246</v>
      </c>
      <c r="BY13" s="23" t="s">
        <v>1433</v>
      </c>
      <c r="BZ13" s="23" t="s">
        <v>1434</v>
      </c>
      <c r="CA13" s="23" t="s">
        <v>1346</v>
      </c>
      <c r="CB13" s="23" t="s">
        <v>1435</v>
      </c>
      <c r="CC13" s="23" t="s">
        <v>1014</v>
      </c>
      <c r="CD13" s="23" t="s">
        <v>1337</v>
      </c>
      <c r="CE13" s="23" t="s">
        <v>1400</v>
      </c>
      <c r="CF13" s="23" t="s">
        <v>377</v>
      </c>
      <c r="CG13" s="23" t="s">
        <v>1425</v>
      </c>
      <c r="CH13" s="23" t="s">
        <v>998</v>
      </c>
      <c r="CI13" s="23" t="s">
        <v>683</v>
      </c>
      <c r="CJ13" s="23" t="s">
        <v>1436</v>
      </c>
      <c r="CK13" s="23" t="s">
        <v>1437</v>
      </c>
      <c r="CL13" s="23" t="s">
        <v>1438</v>
      </c>
      <c r="CM13" s="23" t="s">
        <v>1439</v>
      </c>
      <c r="CN13" s="23" t="s">
        <v>673</v>
      </c>
      <c r="CO13" s="23" t="s">
        <v>1440</v>
      </c>
      <c r="CP13" s="23" t="s">
        <v>1134</v>
      </c>
      <c r="CQ13" s="23" t="s">
        <v>1196</v>
      </c>
      <c r="CR13" s="23" t="s">
        <v>1441</v>
      </c>
      <c r="CS13" s="23" t="s">
        <v>1442</v>
      </c>
      <c r="CT13" s="23" t="s">
        <v>1443</v>
      </c>
      <c r="CU13" s="23" t="s">
        <v>1178</v>
      </c>
      <c r="CV13" s="23" t="s">
        <v>1444</v>
      </c>
    </row>
    <row r="14" customFormat="false" ht="15" hidden="false" customHeight="false" outlineLevel="0" collapsed="false">
      <c r="A14" s="23" t="s">
        <v>18</v>
      </c>
      <c r="B14" s="23" t="s">
        <v>97</v>
      </c>
      <c r="C14" s="23" t="s">
        <v>585</v>
      </c>
      <c r="D14" s="23" t="s">
        <v>586</v>
      </c>
      <c r="E14" s="23" t="s">
        <v>726</v>
      </c>
      <c r="F14" s="23" t="s">
        <v>483</v>
      </c>
      <c r="G14" s="23" t="s">
        <v>268</v>
      </c>
      <c r="H14" s="23" t="s">
        <v>1321</v>
      </c>
      <c r="I14" s="23" t="s">
        <v>486</v>
      </c>
      <c r="J14" s="23" t="s">
        <v>588</v>
      </c>
      <c r="K14" s="23" t="s">
        <v>616</v>
      </c>
      <c r="L14" s="23" t="s">
        <v>600</v>
      </c>
      <c r="M14" s="23" t="s">
        <v>1445</v>
      </c>
      <c r="N14" s="23" t="s">
        <v>274</v>
      </c>
      <c r="O14" s="23" t="s">
        <v>1446</v>
      </c>
      <c r="P14" s="23" t="s">
        <v>1447</v>
      </c>
      <c r="Q14" s="23" t="s">
        <v>771</v>
      </c>
      <c r="R14" s="23" t="s">
        <v>1448</v>
      </c>
      <c r="S14" s="23" t="s">
        <v>1449</v>
      </c>
      <c r="T14" s="23" t="s">
        <v>1450</v>
      </c>
      <c r="U14" s="23" t="s">
        <v>1415</v>
      </c>
      <c r="V14" s="23" t="s">
        <v>1041</v>
      </c>
      <c r="W14" s="23" t="s">
        <v>475</v>
      </c>
      <c r="X14" s="23" t="s">
        <v>617</v>
      </c>
      <c r="Y14" s="23" t="s">
        <v>1451</v>
      </c>
      <c r="Z14" s="23" t="s">
        <v>977</v>
      </c>
      <c r="AA14" s="23" t="s">
        <v>1407</v>
      </c>
      <c r="AB14" s="23" t="s">
        <v>1447</v>
      </c>
      <c r="AC14" s="23" t="s">
        <v>1452</v>
      </c>
      <c r="AD14" s="23" t="s">
        <v>1453</v>
      </c>
      <c r="AE14" s="23" t="s">
        <v>977</v>
      </c>
      <c r="AF14" s="23" t="s">
        <v>973</v>
      </c>
      <c r="AG14" s="23" t="s">
        <v>475</v>
      </c>
      <c r="AH14" s="23" t="s">
        <v>1454</v>
      </c>
      <c r="AI14" s="23" t="s">
        <v>1455</v>
      </c>
      <c r="AJ14" s="23" t="s">
        <v>1099</v>
      </c>
      <c r="AK14" s="23" t="s">
        <v>1048</v>
      </c>
      <c r="AL14" s="23" t="s">
        <v>1456</v>
      </c>
      <c r="AM14" s="23" t="s">
        <v>1457</v>
      </c>
      <c r="AN14" s="23" t="s">
        <v>1458</v>
      </c>
      <c r="AO14" s="23" t="s">
        <v>614</v>
      </c>
      <c r="AP14" s="23" t="s">
        <v>597</v>
      </c>
      <c r="AQ14" s="23" t="s">
        <v>1459</v>
      </c>
      <c r="AR14" s="23" t="s">
        <v>1460</v>
      </c>
      <c r="AS14" s="23" t="s">
        <v>101</v>
      </c>
      <c r="AT14" s="23" t="s">
        <v>1461</v>
      </c>
      <c r="AU14" s="23" t="s">
        <v>1462</v>
      </c>
      <c r="AV14" s="23" t="s">
        <v>1463</v>
      </c>
      <c r="AW14" s="23" t="s">
        <v>602</v>
      </c>
      <c r="AX14" s="23" t="s">
        <v>612</v>
      </c>
      <c r="AY14" s="23" t="s">
        <v>1464</v>
      </c>
      <c r="AZ14" s="23" t="s">
        <v>1465</v>
      </c>
      <c r="BA14" s="23" t="s">
        <v>1466</v>
      </c>
      <c r="BB14" s="23" t="s">
        <v>1467</v>
      </c>
      <c r="BC14" s="23" t="s">
        <v>932</v>
      </c>
      <c r="BD14" s="23" t="s">
        <v>933</v>
      </c>
      <c r="BE14" s="23" t="s">
        <v>1468</v>
      </c>
      <c r="BF14" s="23" t="s">
        <v>1469</v>
      </c>
      <c r="BG14" s="23" t="s">
        <v>90</v>
      </c>
      <c r="BH14" s="23" t="s">
        <v>298</v>
      </c>
      <c r="BI14" s="23" t="s">
        <v>390</v>
      </c>
      <c r="BJ14" s="23" t="s">
        <v>1470</v>
      </c>
      <c r="BK14" s="23" t="s">
        <v>1471</v>
      </c>
      <c r="BL14" s="23" t="s">
        <v>1472</v>
      </c>
      <c r="BM14" s="23" t="s">
        <v>1277</v>
      </c>
      <c r="BN14" s="23" t="s">
        <v>1473</v>
      </c>
      <c r="BO14" s="23" t="s">
        <v>1249</v>
      </c>
      <c r="BP14" s="23" t="s">
        <v>1223</v>
      </c>
      <c r="BQ14" s="23" t="s">
        <v>1328</v>
      </c>
      <c r="BR14" s="23" t="s">
        <v>1474</v>
      </c>
      <c r="BS14" s="23" t="s">
        <v>294</v>
      </c>
      <c r="BT14" s="23" t="s">
        <v>1475</v>
      </c>
      <c r="BU14" s="23" t="s">
        <v>1303</v>
      </c>
      <c r="BV14" s="23" t="s">
        <v>1476</v>
      </c>
      <c r="BW14" s="23" t="s">
        <v>1477</v>
      </c>
      <c r="BX14" s="23" t="s">
        <v>65</v>
      </c>
      <c r="BY14" s="23" t="s">
        <v>519</v>
      </c>
      <c r="BZ14" s="23" t="s">
        <v>1324</v>
      </c>
      <c r="CA14" s="23" t="s">
        <v>1246</v>
      </c>
      <c r="CB14" s="23" t="s">
        <v>1478</v>
      </c>
      <c r="CC14" s="23" t="s">
        <v>1386</v>
      </c>
      <c r="CD14" s="23" t="s">
        <v>1479</v>
      </c>
      <c r="CE14" s="23" t="s">
        <v>1480</v>
      </c>
      <c r="CF14" s="23" t="s">
        <v>1481</v>
      </c>
      <c r="CG14" s="23" t="s">
        <v>1482</v>
      </c>
      <c r="CH14" s="23" t="s">
        <v>1483</v>
      </c>
      <c r="CI14" s="23" t="s">
        <v>1444</v>
      </c>
      <c r="CJ14" s="23" t="s">
        <v>1484</v>
      </c>
      <c r="CK14" s="23" t="s">
        <v>1485</v>
      </c>
      <c r="CL14" s="23" t="s">
        <v>1486</v>
      </c>
      <c r="CM14" s="23" t="s">
        <v>1487</v>
      </c>
      <c r="CN14" s="23" t="s">
        <v>1488</v>
      </c>
      <c r="CO14" s="23" t="s">
        <v>954</v>
      </c>
      <c r="CP14" s="23" t="s">
        <v>935</v>
      </c>
      <c r="CQ14" s="23" t="s">
        <v>1069</v>
      </c>
      <c r="CR14" s="23" t="s">
        <v>115</v>
      </c>
      <c r="CS14" s="23" t="s">
        <v>1489</v>
      </c>
      <c r="CT14" s="23" t="s">
        <v>1490</v>
      </c>
      <c r="CU14" s="23" t="s">
        <v>1491</v>
      </c>
      <c r="CV14" s="23" t="s">
        <v>1284</v>
      </c>
    </row>
    <row r="15" customFormat="false" ht="15" hidden="false" customHeight="false" outlineLevel="0" collapsed="false">
      <c r="A15" s="23" t="s">
        <v>20</v>
      </c>
      <c r="B15" s="23" t="s">
        <v>102</v>
      </c>
      <c r="C15" s="23" t="s">
        <v>625</v>
      </c>
      <c r="D15" s="23" t="s">
        <v>627</v>
      </c>
      <c r="E15" s="23" t="s">
        <v>309</v>
      </c>
      <c r="F15" s="23" t="s">
        <v>416</v>
      </c>
      <c r="G15" s="23" t="s">
        <v>483</v>
      </c>
      <c r="H15" s="23" t="s">
        <v>1492</v>
      </c>
      <c r="I15" s="23" t="s">
        <v>486</v>
      </c>
      <c r="J15" s="23" t="s">
        <v>630</v>
      </c>
      <c r="K15" s="23" t="s">
        <v>658</v>
      </c>
      <c r="L15" s="23" t="s">
        <v>406</v>
      </c>
      <c r="M15" s="23" t="s">
        <v>1493</v>
      </c>
      <c r="N15" s="23" t="s">
        <v>99</v>
      </c>
      <c r="O15" s="23" t="s">
        <v>183</v>
      </c>
      <c r="P15" s="23" t="s">
        <v>1494</v>
      </c>
      <c r="Q15" s="23" t="s">
        <v>322</v>
      </c>
      <c r="R15" s="23" t="s">
        <v>1495</v>
      </c>
      <c r="S15" s="23" t="s">
        <v>1211</v>
      </c>
      <c r="T15" s="23" t="s">
        <v>617</v>
      </c>
      <c r="U15" s="23" t="s">
        <v>1496</v>
      </c>
      <c r="V15" s="23" t="s">
        <v>1497</v>
      </c>
      <c r="W15" s="23" t="s">
        <v>1498</v>
      </c>
      <c r="X15" s="23" t="s">
        <v>660</v>
      </c>
      <c r="Y15" s="23" t="s">
        <v>1499</v>
      </c>
      <c r="Z15" s="23" t="s">
        <v>1048</v>
      </c>
      <c r="AA15" s="23" t="s">
        <v>913</v>
      </c>
      <c r="AB15" s="23" t="s">
        <v>983</v>
      </c>
      <c r="AC15" s="23" t="s">
        <v>324</v>
      </c>
      <c r="AD15" s="23" t="s">
        <v>1096</v>
      </c>
      <c r="AE15" s="23" t="s">
        <v>1500</v>
      </c>
      <c r="AF15" s="23" t="s">
        <v>985</v>
      </c>
      <c r="AG15" s="23" t="s">
        <v>1501</v>
      </c>
      <c r="AH15" s="23" t="s">
        <v>1370</v>
      </c>
      <c r="AI15" s="23" t="s">
        <v>1502</v>
      </c>
      <c r="AJ15" s="23" t="s">
        <v>1048</v>
      </c>
      <c r="AK15" s="23" t="s">
        <v>274</v>
      </c>
      <c r="AL15" s="23" t="s">
        <v>913</v>
      </c>
      <c r="AM15" s="23" t="s">
        <v>1453</v>
      </c>
      <c r="AN15" s="23" t="s">
        <v>1369</v>
      </c>
      <c r="AO15" s="23" t="s">
        <v>656</v>
      </c>
      <c r="AP15" s="23" t="s">
        <v>639</v>
      </c>
      <c r="AQ15" s="23" t="s">
        <v>1503</v>
      </c>
      <c r="AR15" s="23" t="s">
        <v>391</v>
      </c>
      <c r="AS15" s="23" t="s">
        <v>106</v>
      </c>
      <c r="AT15" s="23" t="s">
        <v>1504</v>
      </c>
      <c r="AU15" s="23" t="s">
        <v>1505</v>
      </c>
      <c r="AV15" s="23" t="s">
        <v>1506</v>
      </c>
      <c r="AW15" s="23" t="s">
        <v>645</v>
      </c>
      <c r="AX15" s="23" t="s">
        <v>654</v>
      </c>
      <c r="AY15" s="23" t="s">
        <v>1507</v>
      </c>
      <c r="AZ15" s="23" t="s">
        <v>645</v>
      </c>
      <c r="BA15" s="23" t="s">
        <v>1508</v>
      </c>
      <c r="BB15" s="23" t="s">
        <v>1292</v>
      </c>
      <c r="BC15" s="23" t="s">
        <v>1037</v>
      </c>
      <c r="BD15" s="23" t="s">
        <v>1001</v>
      </c>
      <c r="BE15" s="23" t="s">
        <v>1010</v>
      </c>
      <c r="BF15" s="23" t="s">
        <v>1469</v>
      </c>
      <c r="BG15" s="23" t="s">
        <v>1194</v>
      </c>
      <c r="BH15" s="23" t="s">
        <v>1509</v>
      </c>
      <c r="BI15" s="23" t="s">
        <v>1510</v>
      </c>
      <c r="BJ15" s="23" t="s">
        <v>1081</v>
      </c>
      <c r="BK15" s="23" t="s">
        <v>1511</v>
      </c>
      <c r="BL15" s="23" t="s">
        <v>1200</v>
      </c>
      <c r="BM15" s="23" t="s">
        <v>1512</v>
      </c>
      <c r="BN15" s="23" t="s">
        <v>1086</v>
      </c>
      <c r="BO15" s="23" t="s">
        <v>1356</v>
      </c>
      <c r="BP15" s="23" t="s">
        <v>1335</v>
      </c>
      <c r="BQ15" s="23" t="s">
        <v>1513</v>
      </c>
      <c r="BR15" s="23" t="s">
        <v>1073</v>
      </c>
      <c r="BS15" s="23" t="s">
        <v>1514</v>
      </c>
      <c r="BT15" s="23" t="s">
        <v>1016</v>
      </c>
      <c r="BU15" s="23" t="s">
        <v>1515</v>
      </c>
      <c r="BV15" s="23" t="s">
        <v>1516</v>
      </c>
      <c r="BW15" s="23" t="s">
        <v>1517</v>
      </c>
      <c r="BX15" s="23" t="s">
        <v>1198</v>
      </c>
      <c r="BY15" s="23" t="s">
        <v>1518</v>
      </c>
      <c r="BZ15" s="23" t="s">
        <v>1426</v>
      </c>
      <c r="CA15" s="23" t="s">
        <v>1519</v>
      </c>
      <c r="CB15" s="23" t="s">
        <v>1115</v>
      </c>
      <c r="CC15" s="23" t="s">
        <v>79</v>
      </c>
      <c r="CD15" s="23" t="s">
        <v>1520</v>
      </c>
      <c r="CE15" s="23" t="s">
        <v>1521</v>
      </c>
      <c r="CF15" s="23" t="s">
        <v>1278</v>
      </c>
      <c r="CG15" s="23" t="s">
        <v>1199</v>
      </c>
      <c r="CH15" s="23" t="s">
        <v>1522</v>
      </c>
      <c r="CI15" s="23" t="s">
        <v>1523</v>
      </c>
      <c r="CJ15" s="23" t="s">
        <v>1524</v>
      </c>
      <c r="CK15" s="23" t="s">
        <v>1245</v>
      </c>
      <c r="CL15" s="23" t="s">
        <v>1525</v>
      </c>
      <c r="CM15" s="23" t="s">
        <v>1526</v>
      </c>
      <c r="CN15" s="23" t="s">
        <v>1527</v>
      </c>
      <c r="CO15" s="23" t="s">
        <v>100</v>
      </c>
      <c r="CP15" s="23" t="s">
        <v>1528</v>
      </c>
      <c r="CQ15" s="23" t="s">
        <v>1529</v>
      </c>
      <c r="CR15" s="23" t="s">
        <v>336</v>
      </c>
      <c r="CS15" s="23" t="s">
        <v>1530</v>
      </c>
      <c r="CT15" s="23" t="s">
        <v>1033</v>
      </c>
      <c r="CU15" s="23" t="s">
        <v>1531</v>
      </c>
      <c r="CV15" s="23" t="s">
        <v>1532</v>
      </c>
    </row>
    <row r="16" customFormat="false" ht="15" hidden="false" customHeight="false" outlineLevel="0" collapsed="false">
      <c r="A16" s="23" t="s">
        <v>21</v>
      </c>
      <c r="B16" s="23" t="s">
        <v>107</v>
      </c>
      <c r="C16" s="23" t="s">
        <v>666</v>
      </c>
      <c r="D16" s="23" t="s">
        <v>667</v>
      </c>
      <c r="E16" s="23" t="s">
        <v>155</v>
      </c>
      <c r="F16" s="23" t="s">
        <v>99</v>
      </c>
      <c r="G16" s="23" t="s">
        <v>483</v>
      </c>
      <c r="H16" s="23" t="s">
        <v>1533</v>
      </c>
      <c r="I16" s="23" t="s">
        <v>99</v>
      </c>
      <c r="J16" s="23" t="s">
        <v>468</v>
      </c>
      <c r="K16" s="23" t="s">
        <v>694</v>
      </c>
      <c r="L16" s="23" t="s">
        <v>680</v>
      </c>
      <c r="M16" s="23" t="s">
        <v>387</v>
      </c>
      <c r="N16" s="23" t="s">
        <v>1534</v>
      </c>
      <c r="O16" s="23" t="s">
        <v>1535</v>
      </c>
      <c r="P16" s="23" t="s">
        <v>1536</v>
      </c>
      <c r="Q16" s="23" t="s">
        <v>1448</v>
      </c>
      <c r="R16" s="23" t="s">
        <v>1537</v>
      </c>
      <c r="S16" s="23" t="s">
        <v>1051</v>
      </c>
      <c r="T16" s="23" t="s">
        <v>1538</v>
      </c>
      <c r="U16" s="23" t="s">
        <v>1453</v>
      </c>
      <c r="V16" s="23" t="s">
        <v>1539</v>
      </c>
      <c r="W16" s="23" t="s">
        <v>1407</v>
      </c>
      <c r="X16" s="23" t="s">
        <v>695</v>
      </c>
      <c r="Y16" s="23" t="s">
        <v>1155</v>
      </c>
      <c r="Z16" s="23" t="s">
        <v>989</v>
      </c>
      <c r="AA16" s="23" t="s">
        <v>1540</v>
      </c>
      <c r="AB16" s="23" t="s">
        <v>1211</v>
      </c>
      <c r="AC16" s="23" t="s">
        <v>913</v>
      </c>
      <c r="AD16" s="23" t="s">
        <v>913</v>
      </c>
      <c r="AE16" s="23" t="s">
        <v>1541</v>
      </c>
      <c r="AF16" s="23" t="s">
        <v>978</v>
      </c>
      <c r="AG16" s="23" t="s">
        <v>1542</v>
      </c>
      <c r="AH16" s="23" t="s">
        <v>1494</v>
      </c>
      <c r="AI16" s="23" t="s">
        <v>1211</v>
      </c>
      <c r="AJ16" s="23" t="s">
        <v>1413</v>
      </c>
      <c r="AK16" s="23" t="s">
        <v>989</v>
      </c>
      <c r="AL16" s="23" t="s">
        <v>974</v>
      </c>
      <c r="AM16" s="23" t="s">
        <v>232</v>
      </c>
      <c r="AN16" s="23" t="s">
        <v>1543</v>
      </c>
      <c r="AO16" s="23" t="s">
        <v>694</v>
      </c>
      <c r="AP16" s="23" t="s">
        <v>677</v>
      </c>
      <c r="AQ16" s="23" t="s">
        <v>1544</v>
      </c>
      <c r="AR16" s="23" t="s">
        <v>1545</v>
      </c>
      <c r="AS16" s="23" t="s">
        <v>111</v>
      </c>
      <c r="AT16" s="23" t="s">
        <v>1546</v>
      </c>
      <c r="AU16" s="23" t="s">
        <v>745</v>
      </c>
      <c r="AV16" s="23" t="s">
        <v>1547</v>
      </c>
      <c r="AW16" s="23" t="s">
        <v>682</v>
      </c>
      <c r="AX16" s="23" t="s">
        <v>691</v>
      </c>
      <c r="AY16" s="23" t="s">
        <v>1548</v>
      </c>
      <c r="AZ16" s="23" t="s">
        <v>94</v>
      </c>
      <c r="BA16" s="23" t="s">
        <v>1549</v>
      </c>
      <c r="BB16" s="23" t="s">
        <v>1061</v>
      </c>
      <c r="BC16" s="23" t="s">
        <v>1219</v>
      </c>
      <c r="BD16" s="23" t="s">
        <v>1001</v>
      </c>
      <c r="BE16" s="23" t="s">
        <v>939</v>
      </c>
      <c r="BF16" s="23" t="s">
        <v>1003</v>
      </c>
      <c r="BG16" s="23" t="s">
        <v>1550</v>
      </c>
      <c r="BH16" s="23" t="s">
        <v>1112</v>
      </c>
      <c r="BI16" s="23" t="s">
        <v>1551</v>
      </c>
      <c r="BJ16" s="23" t="s">
        <v>930</v>
      </c>
      <c r="BK16" s="23" t="s">
        <v>1552</v>
      </c>
      <c r="BL16" s="23" t="s">
        <v>218</v>
      </c>
      <c r="BM16" s="23" t="s">
        <v>110</v>
      </c>
      <c r="BN16" s="23" t="s">
        <v>1293</v>
      </c>
      <c r="BO16" s="23" t="s">
        <v>1187</v>
      </c>
      <c r="BP16" s="23" t="s">
        <v>1527</v>
      </c>
      <c r="BQ16" s="23" t="s">
        <v>1019</v>
      </c>
      <c r="BR16" s="23" t="s">
        <v>1553</v>
      </c>
      <c r="BS16" s="23" t="s">
        <v>1294</v>
      </c>
      <c r="BT16" s="23" t="s">
        <v>970</v>
      </c>
      <c r="BU16" s="23" t="s">
        <v>100</v>
      </c>
      <c r="BV16" s="23" t="s">
        <v>947</v>
      </c>
      <c r="BW16" s="23" t="s">
        <v>1554</v>
      </c>
      <c r="BX16" s="23" t="s">
        <v>519</v>
      </c>
      <c r="BY16" s="23" t="s">
        <v>1398</v>
      </c>
      <c r="BZ16" s="23" t="s">
        <v>1555</v>
      </c>
      <c r="CA16" s="23" t="s">
        <v>1556</v>
      </c>
      <c r="CB16" s="23" t="s">
        <v>1557</v>
      </c>
      <c r="CC16" s="23" t="s">
        <v>105</v>
      </c>
      <c r="CD16" s="23" t="s">
        <v>1191</v>
      </c>
      <c r="CE16" s="23" t="s">
        <v>1558</v>
      </c>
      <c r="CF16" s="23" t="s">
        <v>1559</v>
      </c>
      <c r="CG16" s="23" t="s">
        <v>1560</v>
      </c>
      <c r="CH16" s="23" t="s">
        <v>506</v>
      </c>
      <c r="CI16" s="23" t="s">
        <v>1561</v>
      </c>
      <c r="CJ16" s="23" t="s">
        <v>1003</v>
      </c>
      <c r="CK16" s="23" t="s">
        <v>1562</v>
      </c>
      <c r="CL16" s="23" t="s">
        <v>1563</v>
      </c>
      <c r="CM16" s="23" t="s">
        <v>1181</v>
      </c>
      <c r="CN16" s="23" t="s">
        <v>1564</v>
      </c>
      <c r="CO16" s="23" t="s">
        <v>1329</v>
      </c>
      <c r="CP16" s="23" t="s">
        <v>1565</v>
      </c>
      <c r="CQ16" s="23" t="s">
        <v>1566</v>
      </c>
      <c r="CR16" s="23" t="s">
        <v>1352</v>
      </c>
      <c r="CS16" s="23" t="s">
        <v>54</v>
      </c>
      <c r="CT16" s="23" t="s">
        <v>1186</v>
      </c>
      <c r="CU16" s="23" t="s">
        <v>1567</v>
      </c>
      <c r="CV16" s="23" t="s">
        <v>1568</v>
      </c>
    </row>
    <row r="17" customFormat="false" ht="15" hidden="false" customHeight="false" outlineLevel="0" collapsed="false">
      <c r="A17" s="23" t="s">
        <v>22</v>
      </c>
      <c r="B17" s="23" t="s">
        <v>112</v>
      </c>
      <c r="C17" s="23" t="s">
        <v>703</v>
      </c>
      <c r="D17" s="23" t="s">
        <v>704</v>
      </c>
      <c r="E17" s="23" t="s">
        <v>483</v>
      </c>
      <c r="F17" s="23" t="s">
        <v>155</v>
      </c>
      <c r="G17" s="23" t="s">
        <v>483</v>
      </c>
      <c r="H17" s="23" t="s">
        <v>1569</v>
      </c>
      <c r="I17" s="23" t="s">
        <v>99</v>
      </c>
      <c r="J17" s="23" t="s">
        <v>707</v>
      </c>
      <c r="K17" s="23" t="s">
        <v>732</v>
      </c>
      <c r="L17" s="23" t="s">
        <v>717</v>
      </c>
      <c r="M17" s="23" t="s">
        <v>1570</v>
      </c>
      <c r="N17" s="23" t="s">
        <v>1571</v>
      </c>
      <c r="O17" s="23" t="s">
        <v>1572</v>
      </c>
      <c r="P17" s="23" t="s">
        <v>1573</v>
      </c>
      <c r="Q17" s="23" t="s">
        <v>1574</v>
      </c>
      <c r="R17" s="23" t="s">
        <v>1575</v>
      </c>
      <c r="S17" s="23" t="s">
        <v>1576</v>
      </c>
      <c r="T17" s="23" t="s">
        <v>1577</v>
      </c>
      <c r="U17" s="23" t="s">
        <v>1320</v>
      </c>
      <c r="V17" s="23" t="s">
        <v>1322</v>
      </c>
      <c r="W17" s="23" t="s">
        <v>322</v>
      </c>
      <c r="X17" s="23" t="s">
        <v>734</v>
      </c>
      <c r="Y17" s="23" t="s">
        <v>1155</v>
      </c>
      <c r="Z17" s="23" t="s">
        <v>1453</v>
      </c>
      <c r="AA17" s="23" t="s">
        <v>1578</v>
      </c>
      <c r="AB17" s="23" t="s">
        <v>446</v>
      </c>
      <c r="AC17" s="23" t="s">
        <v>402</v>
      </c>
      <c r="AD17" s="23" t="s">
        <v>324</v>
      </c>
      <c r="AE17" s="23" t="s">
        <v>1579</v>
      </c>
      <c r="AF17" s="23" t="s">
        <v>1049</v>
      </c>
      <c r="AG17" s="23" t="s">
        <v>1580</v>
      </c>
      <c r="AH17" s="23" t="s">
        <v>979</v>
      </c>
      <c r="AI17" s="23" t="s">
        <v>1581</v>
      </c>
      <c r="AJ17" s="23" t="s">
        <v>1582</v>
      </c>
      <c r="AK17" s="23" t="s">
        <v>1583</v>
      </c>
      <c r="AL17" s="23" t="s">
        <v>1584</v>
      </c>
      <c r="AM17" s="23" t="s">
        <v>1041</v>
      </c>
      <c r="AN17" s="23" t="s">
        <v>1585</v>
      </c>
      <c r="AO17" s="23" t="s">
        <v>731</v>
      </c>
      <c r="AP17" s="23" t="s">
        <v>714</v>
      </c>
      <c r="AQ17" s="23" t="s">
        <v>1586</v>
      </c>
      <c r="AR17" s="23" t="s">
        <v>1587</v>
      </c>
      <c r="AS17" s="23" t="s">
        <v>116</v>
      </c>
      <c r="AT17" s="23" t="s">
        <v>1588</v>
      </c>
      <c r="AU17" s="23" t="s">
        <v>1589</v>
      </c>
      <c r="AV17" s="23" t="s">
        <v>1590</v>
      </c>
      <c r="AW17" s="23" t="s">
        <v>719</v>
      </c>
      <c r="AX17" s="23" t="s">
        <v>729</v>
      </c>
      <c r="AY17" s="23" t="s">
        <v>1591</v>
      </c>
      <c r="AZ17" s="23" t="s">
        <v>1592</v>
      </c>
      <c r="BA17" s="23" t="s">
        <v>1344</v>
      </c>
      <c r="BB17" s="23" t="s">
        <v>931</v>
      </c>
      <c r="BC17" s="23" t="s">
        <v>1000</v>
      </c>
      <c r="BD17" s="23" t="s">
        <v>1001</v>
      </c>
      <c r="BE17" s="23" t="s">
        <v>1191</v>
      </c>
      <c r="BF17" s="23" t="s">
        <v>1003</v>
      </c>
      <c r="BG17" s="23" t="s">
        <v>1593</v>
      </c>
      <c r="BH17" s="23" t="s">
        <v>1594</v>
      </c>
      <c r="BI17" s="23" t="s">
        <v>1595</v>
      </c>
      <c r="BJ17" s="23" t="s">
        <v>1596</v>
      </c>
      <c r="BK17" s="23" t="s">
        <v>1597</v>
      </c>
      <c r="BL17" s="23" t="s">
        <v>1379</v>
      </c>
      <c r="BM17" s="23" t="s">
        <v>1509</v>
      </c>
      <c r="BN17" s="23" t="s">
        <v>1598</v>
      </c>
      <c r="BO17" s="23" t="s">
        <v>1599</v>
      </c>
      <c r="BP17" s="23" t="s">
        <v>682</v>
      </c>
      <c r="BQ17" s="23" t="s">
        <v>1091</v>
      </c>
      <c r="BR17" s="23" t="s">
        <v>1238</v>
      </c>
      <c r="BS17" s="23" t="s">
        <v>335</v>
      </c>
      <c r="BT17" s="23" t="s">
        <v>1600</v>
      </c>
      <c r="BU17" s="23" t="s">
        <v>1552</v>
      </c>
      <c r="BV17" s="23" t="s">
        <v>1601</v>
      </c>
      <c r="BW17" s="23" t="s">
        <v>1602</v>
      </c>
      <c r="BX17" s="23" t="s">
        <v>1465</v>
      </c>
      <c r="BY17" s="23" t="s">
        <v>1603</v>
      </c>
      <c r="BZ17" s="23" t="s">
        <v>1604</v>
      </c>
      <c r="CA17" s="23" t="s">
        <v>1605</v>
      </c>
      <c r="CB17" s="23" t="s">
        <v>1606</v>
      </c>
      <c r="CC17" s="23" t="s">
        <v>1459</v>
      </c>
      <c r="CD17" s="23" t="s">
        <v>1607</v>
      </c>
      <c r="CE17" s="23" t="s">
        <v>1608</v>
      </c>
      <c r="CF17" s="23" t="s">
        <v>1143</v>
      </c>
      <c r="CG17" s="23" t="s">
        <v>140</v>
      </c>
      <c r="CH17" s="23" t="s">
        <v>1428</v>
      </c>
      <c r="CI17" s="23" t="s">
        <v>1609</v>
      </c>
      <c r="CJ17" s="23" t="s">
        <v>1610</v>
      </c>
      <c r="CK17" s="23" t="s">
        <v>1611</v>
      </c>
      <c r="CL17" s="23" t="s">
        <v>1612</v>
      </c>
      <c r="CM17" s="23" t="s">
        <v>1595</v>
      </c>
      <c r="CN17" s="23" t="s">
        <v>1111</v>
      </c>
      <c r="CO17" s="23" t="s">
        <v>1613</v>
      </c>
      <c r="CP17" s="23" t="s">
        <v>1614</v>
      </c>
      <c r="CQ17" s="23" t="s">
        <v>1615</v>
      </c>
      <c r="CR17" s="23" t="s">
        <v>1281</v>
      </c>
      <c r="CS17" s="23" t="s">
        <v>1616</v>
      </c>
      <c r="CT17" s="23" t="s">
        <v>747</v>
      </c>
      <c r="CU17" s="23" t="s">
        <v>1336</v>
      </c>
      <c r="CV17" s="23" t="s">
        <v>1594</v>
      </c>
    </row>
    <row r="18" customFormat="false" ht="15" hidden="false" customHeight="false" outlineLevel="0" collapsed="false">
      <c r="A18" s="23" t="s">
        <v>23</v>
      </c>
      <c r="B18" s="23" t="s">
        <v>117</v>
      </c>
      <c r="C18" s="23" t="s">
        <v>741</v>
      </c>
      <c r="D18" s="23" t="s">
        <v>744</v>
      </c>
      <c r="E18" s="23" t="s">
        <v>309</v>
      </c>
      <c r="F18" s="23" t="s">
        <v>155</v>
      </c>
      <c r="G18" s="23" t="s">
        <v>483</v>
      </c>
      <c r="H18" s="23" t="s">
        <v>1617</v>
      </c>
      <c r="I18" s="23" t="s">
        <v>268</v>
      </c>
      <c r="J18" s="23" t="s">
        <v>747</v>
      </c>
      <c r="K18" s="23" t="s">
        <v>772</v>
      </c>
      <c r="L18" s="23" t="s">
        <v>757</v>
      </c>
      <c r="M18" s="23" t="s">
        <v>614</v>
      </c>
      <c r="N18" s="23" t="s">
        <v>1618</v>
      </c>
      <c r="O18" s="23" t="s">
        <v>1619</v>
      </c>
      <c r="P18" s="23" t="s">
        <v>1620</v>
      </c>
      <c r="Q18" s="23" t="s">
        <v>1621</v>
      </c>
      <c r="R18" s="23" t="s">
        <v>1622</v>
      </c>
      <c r="S18" s="23" t="s">
        <v>1453</v>
      </c>
      <c r="T18" s="23" t="s">
        <v>1623</v>
      </c>
      <c r="U18" s="23" t="s">
        <v>1624</v>
      </c>
      <c r="V18" s="23" t="s">
        <v>576</v>
      </c>
      <c r="W18" s="23" t="s">
        <v>1541</v>
      </c>
      <c r="X18" s="23" t="s">
        <v>774</v>
      </c>
      <c r="Y18" s="23" t="s">
        <v>1155</v>
      </c>
      <c r="Z18" s="23" t="s">
        <v>274</v>
      </c>
      <c r="AA18" s="23" t="s">
        <v>1044</v>
      </c>
      <c r="AB18" s="23" t="s">
        <v>905</v>
      </c>
      <c r="AC18" s="23" t="s">
        <v>576</v>
      </c>
      <c r="AD18" s="23" t="s">
        <v>1051</v>
      </c>
      <c r="AE18" s="23" t="s">
        <v>922</v>
      </c>
      <c r="AF18" s="23" t="s">
        <v>1049</v>
      </c>
      <c r="AG18" s="23" t="s">
        <v>1625</v>
      </c>
      <c r="AH18" s="23" t="s">
        <v>1626</v>
      </c>
      <c r="AI18" s="23" t="s">
        <v>1627</v>
      </c>
      <c r="AJ18" s="23" t="s">
        <v>322</v>
      </c>
      <c r="AK18" s="23" t="s">
        <v>989</v>
      </c>
      <c r="AL18" s="23" t="s">
        <v>324</v>
      </c>
      <c r="AM18" s="23" t="s">
        <v>1365</v>
      </c>
      <c r="AN18" s="23" t="s">
        <v>1628</v>
      </c>
      <c r="AO18" s="23" t="s">
        <v>771</v>
      </c>
      <c r="AP18" s="23" t="s">
        <v>754</v>
      </c>
      <c r="AQ18" s="23" t="s">
        <v>970</v>
      </c>
      <c r="AR18" s="23" t="s">
        <v>1629</v>
      </c>
      <c r="AS18" s="23" t="s">
        <v>121</v>
      </c>
      <c r="AT18" s="23" t="s">
        <v>1630</v>
      </c>
      <c r="AU18" s="23" t="s">
        <v>1631</v>
      </c>
      <c r="AV18" s="23" t="s">
        <v>1632</v>
      </c>
      <c r="AW18" s="23" t="s">
        <v>760</v>
      </c>
      <c r="AX18" s="23" t="s">
        <v>769</v>
      </c>
      <c r="AY18" s="23" t="s">
        <v>1633</v>
      </c>
      <c r="AZ18" s="23" t="s">
        <v>1634</v>
      </c>
      <c r="BA18" s="23" t="s">
        <v>1635</v>
      </c>
      <c r="BB18" s="23" t="s">
        <v>1292</v>
      </c>
      <c r="BC18" s="23" t="s">
        <v>1000</v>
      </c>
      <c r="BD18" s="23" t="s">
        <v>1001</v>
      </c>
      <c r="BE18" s="23" t="s">
        <v>1636</v>
      </c>
      <c r="BF18" s="23" t="s">
        <v>935</v>
      </c>
      <c r="BG18" s="23" t="s">
        <v>1637</v>
      </c>
      <c r="BH18" s="23" t="s">
        <v>1354</v>
      </c>
      <c r="BI18" s="23" t="s">
        <v>1459</v>
      </c>
      <c r="BJ18" s="23" t="s">
        <v>1189</v>
      </c>
      <c r="BK18" s="23" t="s">
        <v>1246</v>
      </c>
      <c r="BL18" s="23" t="s">
        <v>1638</v>
      </c>
      <c r="BM18" s="23" t="s">
        <v>1388</v>
      </c>
      <c r="BN18" s="23" t="s">
        <v>1324</v>
      </c>
      <c r="BO18" s="23" t="s">
        <v>1532</v>
      </c>
      <c r="BP18" s="23" t="s">
        <v>1277</v>
      </c>
      <c r="BQ18" s="23" t="s">
        <v>1639</v>
      </c>
      <c r="BR18" s="23" t="s">
        <v>1640</v>
      </c>
      <c r="BS18" s="23" t="s">
        <v>1385</v>
      </c>
      <c r="BT18" s="23" t="s">
        <v>1302</v>
      </c>
      <c r="BU18" s="23" t="s">
        <v>1441</v>
      </c>
      <c r="BV18" s="23" t="s">
        <v>1284</v>
      </c>
      <c r="BW18" s="23" t="s">
        <v>1088</v>
      </c>
      <c r="BX18" s="23" t="s">
        <v>1641</v>
      </c>
      <c r="BY18" s="23" t="s">
        <v>1642</v>
      </c>
      <c r="BZ18" s="23" t="s">
        <v>1643</v>
      </c>
      <c r="CA18" s="23" t="s">
        <v>1027</v>
      </c>
      <c r="CB18" s="23" t="s">
        <v>1644</v>
      </c>
      <c r="CC18" s="23" t="s">
        <v>1645</v>
      </c>
      <c r="CD18" s="23" t="s">
        <v>1646</v>
      </c>
      <c r="CE18" s="23" t="s">
        <v>1647</v>
      </c>
      <c r="CF18" s="23" t="s">
        <v>1648</v>
      </c>
      <c r="CG18" s="23" t="s">
        <v>1649</v>
      </c>
      <c r="CH18" s="23" t="s">
        <v>506</v>
      </c>
      <c r="CI18" s="23" t="s">
        <v>1650</v>
      </c>
      <c r="CJ18" s="23" t="s">
        <v>1356</v>
      </c>
      <c r="CK18" s="23" t="s">
        <v>1074</v>
      </c>
      <c r="CL18" s="23" t="s">
        <v>1651</v>
      </c>
      <c r="CM18" s="23" t="s">
        <v>1191</v>
      </c>
      <c r="CN18" s="23" t="s">
        <v>1652</v>
      </c>
      <c r="CO18" s="23" t="s">
        <v>1184</v>
      </c>
      <c r="CP18" s="23" t="s">
        <v>1343</v>
      </c>
      <c r="CQ18" s="23" t="s">
        <v>1064</v>
      </c>
      <c r="CR18" s="23" t="s">
        <v>1653</v>
      </c>
      <c r="CS18" s="23" t="s">
        <v>1521</v>
      </c>
      <c r="CT18" s="23" t="s">
        <v>1278</v>
      </c>
      <c r="CU18" s="23" t="s">
        <v>1654</v>
      </c>
      <c r="CV18" s="23" t="s">
        <v>1531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2026-05-20T06:50:35Z</dcterms:created>
  <dc:creator>openpyxl</dc:creator>
  <dc:description/>
  <dc:language>en-US</dc:language>
  <cp:lastModifiedBy/>
  <dcterms:modified xsi:type="dcterms:W3CDTF">2026-05-20T06:50:35Z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